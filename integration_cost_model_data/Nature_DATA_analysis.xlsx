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filterPrivacy="1" defaultThemeVersion="124226"/>
  <xr:revisionPtr revIDLastSave="295" documentId="11_8E10408266BA9CE0DD943AA0CB7991025EA3A442" xr6:coauthVersionLast="47" xr6:coauthVersionMax="47" xr10:uidLastSave="{E3F45B01-4530-804C-850E-F47C3D1C88C2}"/>
  <bookViews>
    <workbookView xWindow="0" yWindow="500" windowWidth="33600" windowHeight="18980" tabRatio="864" activeTab="3" xr2:uid="{00000000-000D-0000-FFFF-FFFF00000000}"/>
  </bookViews>
  <sheets>
    <sheet name="Read me" sheetId="28" r:id="rId1"/>
    <sheet name="Search Strings" sheetId="30" r:id="rId2"/>
    <sheet name="Relevance Ratings" sheetId="31" r:id="rId3"/>
    <sheet name="References" sheetId="1" r:id="rId4"/>
    <sheet name="Res, Cap, Agg, Pro Costs" sheetId="27" r:id="rId5"/>
    <sheet name="Inflation" sheetId="11" r:id="rId6"/>
    <sheet name="Currency" sheetId="12" r:id="rId7"/>
    <sheet name="CPI USA" sheetId="36" r:id="rId8"/>
    <sheet name="OP RES COSTS" sheetId="32" r:id="rId9"/>
    <sheet name="Capacity Costs" sheetId="33" r:id="rId10"/>
    <sheet name="Agg Costs" sheetId="34" r:id="rId11"/>
    <sheet name="Profile Costs" sheetId="35" r:id="rId12"/>
    <sheet name="Agg Costs filtered" sheetId="37" r:id="rId13"/>
    <sheet name="Capacity Credit" sheetId="26" r:id="rId14"/>
    <sheet name="Curtailment" sheetId="29" r:id="rId15"/>
  </sheets>
  <definedNames>
    <definedName name="_xlnm._FilterDatabase" localSheetId="12" hidden="1">'Agg Costs filtered'!$A$2:$K$115</definedName>
    <definedName name="_xlnm._FilterDatabase" localSheetId="14" hidden="1">Curtailment!$B$3:$B$201</definedName>
    <definedName name="_xlnm._FilterDatabase" localSheetId="3" hidden="1">References!$A$1:$L$455</definedName>
    <definedName name="_xlnm._FilterDatabase" localSheetId="4" hidden="1">'Res, Cap, Agg, Pro Costs'!$T$1:$T$291</definedName>
    <definedName name="_xlchart.v1.0" hidden="1">'Agg Costs filtered'!$D$69:$D$115</definedName>
    <definedName name="_xlchart.v1.1" hidden="1">'Agg Costs filtered'!$K$69:$K$115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6" i="37" l="1"/>
  <c r="N71" i="37"/>
  <c r="N70" i="37"/>
  <c r="N69" i="37"/>
  <c r="N73" i="37" l="1"/>
  <c r="N72" i="37"/>
  <c r="K113" i="37"/>
  <c r="K114" i="37"/>
  <c r="K115" i="37"/>
  <c r="K110" i="37"/>
  <c r="K111" i="37"/>
  <c r="K112" i="37"/>
  <c r="K100" i="37"/>
  <c r="K103" i="37"/>
  <c r="K104" i="37"/>
  <c r="K79" i="37"/>
  <c r="K85" i="37"/>
  <c r="K84" i="37"/>
  <c r="K71" i="37"/>
  <c r="K70" i="37"/>
  <c r="K69" i="37"/>
  <c r="K107" i="37"/>
  <c r="K106" i="37"/>
  <c r="K99" i="37"/>
  <c r="K98" i="37"/>
  <c r="K88" i="37"/>
  <c r="K87" i="37"/>
  <c r="K109" i="37"/>
  <c r="K108" i="37"/>
  <c r="K105" i="37"/>
  <c r="K102" i="37"/>
  <c r="K101" i="37"/>
  <c r="K90" i="37"/>
  <c r="K89" i="37"/>
  <c r="K86" i="37"/>
  <c r="K83" i="37"/>
  <c r="K76" i="37"/>
  <c r="K75" i="37"/>
  <c r="K73" i="37"/>
  <c r="K91" i="37"/>
  <c r="K82" i="37"/>
  <c r="K72" i="37"/>
  <c r="K93" i="37"/>
  <c r="K81" i="37"/>
  <c r="K74" i="37"/>
  <c r="K95" i="37"/>
  <c r="K94" i="37"/>
  <c r="K96" i="37"/>
  <c r="K97" i="37"/>
  <c r="K92" i="37"/>
  <c r="K80" i="37"/>
  <c r="K78" i="37"/>
  <c r="K77" i="37"/>
  <c r="K68" i="37"/>
  <c r="K67" i="37"/>
  <c r="K66" i="37"/>
  <c r="K65" i="37"/>
  <c r="K64" i="37"/>
  <c r="K63" i="37"/>
  <c r="K62" i="37"/>
  <c r="K61" i="37"/>
  <c r="K60" i="37"/>
  <c r="K59" i="37"/>
  <c r="K58" i="37"/>
  <c r="K57" i="37"/>
  <c r="K56" i="37"/>
  <c r="K55" i="37"/>
  <c r="K54" i="37"/>
  <c r="K53" i="37"/>
  <c r="K52" i="37"/>
  <c r="K51" i="37"/>
  <c r="K50" i="37"/>
  <c r="K49" i="37"/>
  <c r="K48" i="37"/>
  <c r="K47" i="37"/>
  <c r="K46" i="37"/>
  <c r="K45" i="37"/>
  <c r="K44" i="37"/>
  <c r="K43" i="37"/>
  <c r="K42" i="37"/>
  <c r="K41" i="37"/>
  <c r="K40" i="37"/>
  <c r="K39" i="37"/>
  <c r="K38" i="37"/>
  <c r="K37" i="37"/>
  <c r="K36" i="37"/>
  <c r="K35" i="37"/>
  <c r="K34" i="37"/>
  <c r="K33" i="37"/>
  <c r="K32" i="37"/>
  <c r="K31" i="37"/>
  <c r="K30" i="37"/>
  <c r="K29" i="37"/>
  <c r="K28" i="37"/>
  <c r="K27" i="37"/>
  <c r="K26" i="37"/>
  <c r="K25" i="37"/>
  <c r="K24" i="37"/>
  <c r="K23" i="37"/>
  <c r="K22" i="37"/>
  <c r="K21" i="37"/>
  <c r="K20" i="37"/>
  <c r="K19" i="37"/>
  <c r="K18" i="37"/>
  <c r="K17" i="37"/>
  <c r="K16" i="37"/>
  <c r="K15" i="37"/>
  <c r="K14" i="37"/>
  <c r="K13" i="37"/>
  <c r="K12" i="37"/>
  <c r="K11" i="37"/>
  <c r="K10" i="37"/>
  <c r="K9" i="37"/>
  <c r="K8" i="37"/>
  <c r="K7" i="37"/>
  <c r="K6" i="37"/>
  <c r="K5" i="37"/>
  <c r="K4" i="37"/>
  <c r="K3" i="37"/>
  <c r="J4" i="35"/>
  <c r="J5" i="35"/>
  <c r="J6" i="35"/>
  <c r="J7" i="35"/>
  <c r="J8" i="35"/>
  <c r="J9" i="35"/>
  <c r="J10" i="35"/>
  <c r="J11" i="35"/>
  <c r="J12" i="35"/>
  <c r="J13" i="35"/>
  <c r="J14" i="35"/>
  <c r="J15" i="35"/>
  <c r="J16" i="35"/>
  <c r="J17" i="35"/>
  <c r="J18" i="35"/>
  <c r="J19" i="35"/>
  <c r="J20" i="35"/>
  <c r="J21" i="35"/>
  <c r="J22" i="35"/>
  <c r="J23" i="35"/>
  <c r="J24" i="35"/>
  <c r="J25" i="35"/>
  <c r="J26" i="35"/>
  <c r="J27" i="35"/>
  <c r="J28" i="35"/>
  <c r="J29" i="35"/>
  <c r="J30" i="35"/>
  <c r="J31" i="35"/>
  <c r="J32" i="35"/>
  <c r="J33" i="35"/>
  <c r="J34" i="35"/>
  <c r="J35" i="35"/>
  <c r="J36" i="35"/>
  <c r="J37" i="35"/>
  <c r="J38" i="35"/>
  <c r="J39" i="35"/>
  <c r="J40" i="35"/>
  <c r="J41" i="35"/>
  <c r="J42" i="35"/>
  <c r="J43" i="35"/>
  <c r="J44" i="35"/>
  <c r="J45" i="35"/>
  <c r="J46" i="35"/>
  <c r="J47" i="35"/>
  <c r="J48" i="35"/>
  <c r="J49" i="35"/>
  <c r="J50" i="35"/>
  <c r="J51" i="35"/>
  <c r="J52" i="35"/>
  <c r="J53" i="35"/>
  <c r="J54" i="35"/>
  <c r="J55" i="35"/>
  <c r="J56" i="35"/>
  <c r="J57" i="35"/>
  <c r="J58" i="35"/>
  <c r="J59" i="35"/>
  <c r="J60" i="35"/>
  <c r="J61" i="35"/>
  <c r="J62" i="35"/>
  <c r="J63" i="35"/>
  <c r="J64" i="35"/>
  <c r="J65" i="35"/>
  <c r="J66" i="35"/>
  <c r="J67" i="35"/>
  <c r="J68" i="35"/>
  <c r="J69" i="35"/>
  <c r="J70" i="35"/>
  <c r="J71" i="35"/>
  <c r="J72" i="35"/>
  <c r="J73" i="35"/>
  <c r="J74" i="35"/>
  <c r="J75" i="35"/>
  <c r="J76" i="35"/>
  <c r="J77" i="35"/>
  <c r="J78" i="35"/>
  <c r="J79" i="35"/>
  <c r="J80" i="35"/>
  <c r="J81" i="35"/>
  <c r="J82" i="35"/>
  <c r="J83" i="35"/>
  <c r="J84" i="35"/>
  <c r="J85" i="35"/>
  <c r="J86" i="35"/>
  <c r="J87" i="35"/>
  <c r="J88" i="35"/>
  <c r="J89" i="35"/>
  <c r="J90" i="35"/>
  <c r="J3" i="35"/>
  <c r="K4" i="34"/>
  <c r="K5" i="34"/>
  <c r="K6" i="34"/>
  <c r="K7" i="34"/>
  <c r="K8" i="34"/>
  <c r="K9" i="34"/>
  <c r="K10" i="34"/>
  <c r="K11" i="34"/>
  <c r="K12" i="34"/>
  <c r="K13" i="34"/>
  <c r="K14" i="34"/>
  <c r="K15" i="34"/>
  <c r="K16" i="34"/>
  <c r="K17" i="34"/>
  <c r="K18" i="34"/>
  <c r="K19" i="34"/>
  <c r="K20" i="34"/>
  <c r="K21" i="34"/>
  <c r="K22" i="34"/>
  <c r="K23" i="34"/>
  <c r="K24" i="34"/>
  <c r="K25" i="34"/>
  <c r="K26" i="34"/>
  <c r="K27" i="34"/>
  <c r="K28" i="34"/>
  <c r="K29" i="34"/>
  <c r="K30" i="34"/>
  <c r="K31" i="34"/>
  <c r="K32" i="34"/>
  <c r="K33" i="34"/>
  <c r="K34" i="34"/>
  <c r="K35" i="34"/>
  <c r="K36" i="34"/>
  <c r="K37" i="34"/>
  <c r="K38" i="34"/>
  <c r="K39" i="34"/>
  <c r="K40" i="34"/>
  <c r="K41" i="34"/>
  <c r="K42" i="34"/>
  <c r="K43" i="34"/>
  <c r="K44" i="34"/>
  <c r="K45" i="34"/>
  <c r="K46" i="34"/>
  <c r="K47" i="34"/>
  <c r="K48" i="34"/>
  <c r="K49" i="34"/>
  <c r="K50" i="34"/>
  <c r="K51" i="34"/>
  <c r="K52" i="34"/>
  <c r="K53" i="34"/>
  <c r="K54" i="34"/>
  <c r="K55" i="34"/>
  <c r="K56" i="34"/>
  <c r="K57" i="34"/>
  <c r="K58" i="34"/>
  <c r="K59" i="34"/>
  <c r="K60" i="34"/>
  <c r="K61" i="34"/>
  <c r="K62" i="34"/>
  <c r="K63" i="34"/>
  <c r="K64" i="34"/>
  <c r="K65" i="34"/>
  <c r="K66" i="34"/>
  <c r="K67" i="34"/>
  <c r="K68" i="34"/>
  <c r="K69" i="34"/>
  <c r="K70" i="34"/>
  <c r="K71" i="34"/>
  <c r="K72" i="34"/>
  <c r="K73" i="34"/>
  <c r="K74" i="34"/>
  <c r="K75" i="34"/>
  <c r="K76" i="34"/>
  <c r="K77" i="34"/>
  <c r="K78" i="34"/>
  <c r="K79" i="34"/>
  <c r="K80" i="34"/>
  <c r="K81" i="34"/>
  <c r="K82" i="34"/>
  <c r="K83" i="34"/>
  <c r="K84" i="34"/>
  <c r="K85" i="34"/>
  <c r="K86" i="34"/>
  <c r="K87" i="34"/>
  <c r="K88" i="34"/>
  <c r="K89" i="34"/>
  <c r="K90" i="34"/>
  <c r="K91" i="34"/>
  <c r="K92" i="34"/>
  <c r="K93" i="34"/>
  <c r="K94" i="34"/>
  <c r="K95" i="34"/>
  <c r="K96" i="34"/>
  <c r="K97" i="34"/>
  <c r="K98" i="34"/>
  <c r="K99" i="34"/>
  <c r="K100" i="34"/>
  <c r="K101" i="34"/>
  <c r="K102" i="34"/>
  <c r="K103" i="34"/>
  <c r="K104" i="34"/>
  <c r="K105" i="34"/>
  <c r="K106" i="34"/>
  <c r="K107" i="34"/>
  <c r="K108" i="34"/>
  <c r="K109" i="34"/>
  <c r="K110" i="34"/>
  <c r="K111" i="34"/>
  <c r="K112" i="34"/>
  <c r="K113" i="34"/>
  <c r="K114" i="34"/>
  <c r="K115" i="34"/>
  <c r="K3" i="34"/>
  <c r="E4" i="33"/>
  <c r="E5" i="33"/>
  <c r="E6" i="33"/>
  <c r="E7" i="33"/>
  <c r="E8" i="33"/>
  <c r="E9" i="33"/>
  <c r="E10" i="33"/>
  <c r="E11" i="33"/>
  <c r="E12" i="33"/>
  <c r="E13" i="33"/>
  <c r="E14" i="33"/>
  <c r="E15" i="33"/>
  <c r="E16" i="33"/>
  <c r="E17" i="33"/>
  <c r="E18" i="33"/>
  <c r="E19" i="33"/>
  <c r="E20" i="33"/>
  <c r="E21" i="33"/>
  <c r="E22" i="33"/>
  <c r="E23" i="33"/>
  <c r="E24" i="33"/>
  <c r="E25" i="33"/>
  <c r="E26" i="33"/>
  <c r="E27" i="33"/>
  <c r="E28" i="33"/>
  <c r="E29" i="33"/>
  <c r="E30" i="33"/>
  <c r="E31" i="33"/>
  <c r="E32" i="33"/>
  <c r="E33" i="33"/>
  <c r="E34" i="33"/>
  <c r="E35" i="33"/>
  <c r="E36" i="33"/>
  <c r="E37" i="33"/>
  <c r="E38" i="33"/>
  <c r="E39" i="33"/>
  <c r="E40" i="33"/>
  <c r="E41" i="33"/>
  <c r="E42" i="33"/>
  <c r="E43" i="33"/>
  <c r="E44" i="33"/>
  <c r="E45" i="33"/>
  <c r="E46" i="33"/>
  <c r="E47" i="33"/>
  <c r="E48" i="33"/>
  <c r="E49" i="33"/>
  <c r="E50" i="33"/>
  <c r="E51" i="33"/>
  <c r="E52" i="33"/>
  <c r="E53" i="33"/>
  <c r="E54" i="33"/>
  <c r="E55" i="33"/>
  <c r="E56" i="33"/>
  <c r="E57" i="33"/>
  <c r="E58" i="33"/>
  <c r="E59" i="33"/>
  <c r="E60" i="33"/>
  <c r="E61" i="33"/>
  <c r="E62" i="33"/>
  <c r="E63" i="33"/>
  <c r="E64" i="33"/>
  <c r="E65" i="33"/>
  <c r="E66" i="33"/>
  <c r="E67" i="33"/>
  <c r="E68" i="33"/>
  <c r="E69" i="33"/>
  <c r="E70" i="33"/>
  <c r="E71" i="33"/>
  <c r="E72" i="33"/>
  <c r="E73" i="33"/>
  <c r="E74" i="33"/>
  <c r="E75" i="33"/>
  <c r="E76" i="33"/>
  <c r="E77" i="33"/>
  <c r="E78" i="33"/>
  <c r="E79" i="33"/>
  <c r="E80" i="33"/>
  <c r="E81" i="33"/>
  <c r="E82" i="33"/>
  <c r="E83" i="33"/>
  <c r="E84" i="33"/>
  <c r="E85" i="33"/>
  <c r="E86" i="33"/>
  <c r="E87" i="33"/>
  <c r="E88" i="33"/>
  <c r="E89" i="33"/>
  <c r="E90" i="33"/>
  <c r="E91" i="33"/>
  <c r="E92" i="33"/>
  <c r="E93" i="33"/>
  <c r="E94" i="33"/>
  <c r="E95" i="33"/>
  <c r="E96" i="33"/>
  <c r="E97" i="33"/>
  <c r="E98" i="33"/>
  <c r="E99" i="33"/>
  <c r="E100" i="33"/>
  <c r="E101" i="33"/>
  <c r="E102" i="33"/>
  <c r="E103" i="33"/>
  <c r="E104" i="33"/>
  <c r="E105" i="33"/>
  <c r="E106" i="33"/>
  <c r="E107" i="33"/>
  <c r="E108" i="33"/>
  <c r="E109" i="33"/>
  <c r="E110" i="33"/>
  <c r="E111" i="33"/>
  <c r="E112" i="33"/>
  <c r="E113" i="33"/>
  <c r="E114" i="33"/>
  <c r="E115" i="33"/>
  <c r="E3" i="33"/>
  <c r="E4" i="32"/>
  <c r="G4" i="32" s="1"/>
  <c r="E5" i="32"/>
  <c r="G5" i="32" s="1"/>
  <c r="E6" i="32"/>
  <c r="G6" i="32" s="1"/>
  <c r="E7" i="32"/>
  <c r="G7" i="32" s="1"/>
  <c r="E8" i="32"/>
  <c r="G8" i="32" s="1"/>
  <c r="E9" i="32"/>
  <c r="G9" i="32" s="1"/>
  <c r="E10" i="32"/>
  <c r="G10" i="32" s="1"/>
  <c r="E11" i="32"/>
  <c r="G11" i="32" s="1"/>
  <c r="E12" i="32"/>
  <c r="G12" i="32" s="1"/>
  <c r="E13" i="32"/>
  <c r="G13" i="32" s="1"/>
  <c r="E14" i="32"/>
  <c r="G14" i="32" s="1"/>
  <c r="E15" i="32"/>
  <c r="G15" i="32" s="1"/>
  <c r="E16" i="32"/>
  <c r="G16" i="32" s="1"/>
  <c r="E17" i="32"/>
  <c r="G17" i="32" s="1"/>
  <c r="E18" i="32"/>
  <c r="G18" i="32" s="1"/>
  <c r="E19" i="32"/>
  <c r="G19" i="32" s="1"/>
  <c r="E20" i="32"/>
  <c r="G20" i="32" s="1"/>
  <c r="E21" i="32"/>
  <c r="G21" i="32" s="1"/>
  <c r="E22" i="32"/>
  <c r="G22" i="32" s="1"/>
  <c r="E23" i="32"/>
  <c r="G23" i="32" s="1"/>
  <c r="E24" i="32"/>
  <c r="E25" i="32"/>
  <c r="E26" i="32"/>
  <c r="E27" i="32"/>
  <c r="E28" i="32"/>
  <c r="E29" i="32"/>
  <c r="E30" i="32"/>
  <c r="E31" i="32"/>
  <c r="E32" i="32"/>
  <c r="E33" i="32"/>
  <c r="E34" i="32"/>
  <c r="E35" i="32"/>
  <c r="E36" i="32"/>
  <c r="E37" i="32"/>
  <c r="E38" i="32"/>
  <c r="E39" i="32"/>
  <c r="E40" i="32"/>
  <c r="E41" i="32"/>
  <c r="E42" i="32"/>
  <c r="G42" i="32" s="1"/>
  <c r="E43" i="32"/>
  <c r="G43" i="32" s="1"/>
  <c r="E44" i="32"/>
  <c r="G44" i="32" s="1"/>
  <c r="E45" i="32"/>
  <c r="G45" i="32" s="1"/>
  <c r="E46" i="32"/>
  <c r="G46" i="32" s="1"/>
  <c r="E47" i="32"/>
  <c r="G47" i="32" s="1"/>
  <c r="E48" i="32"/>
  <c r="G48" i="32" s="1"/>
  <c r="E49" i="32"/>
  <c r="G49" i="32" s="1"/>
  <c r="E50" i="32"/>
  <c r="G50" i="32" s="1"/>
  <c r="E51" i="32"/>
  <c r="G51" i="32" s="1"/>
  <c r="E52" i="32"/>
  <c r="G52" i="32" s="1"/>
  <c r="E53" i="32"/>
  <c r="G53" i="32" s="1"/>
  <c r="E54" i="32"/>
  <c r="G54" i="32" s="1"/>
  <c r="E55" i="32"/>
  <c r="G55" i="32" s="1"/>
  <c r="E56" i="32"/>
  <c r="G56" i="32" s="1"/>
  <c r="E57" i="32"/>
  <c r="G57" i="32" s="1"/>
  <c r="E58" i="32"/>
  <c r="G58" i="32" s="1"/>
  <c r="E59" i="32"/>
  <c r="G59" i="32" s="1"/>
  <c r="E60" i="32"/>
  <c r="G60" i="32" s="1"/>
  <c r="E61" i="32"/>
  <c r="G61" i="32" s="1"/>
  <c r="E62" i="32"/>
  <c r="G62" i="32" s="1"/>
  <c r="E63" i="32"/>
  <c r="G63" i="32" s="1"/>
  <c r="E64" i="32"/>
  <c r="G64" i="32" s="1"/>
  <c r="E65" i="32"/>
  <c r="G65" i="32" s="1"/>
  <c r="E66" i="32"/>
  <c r="G66" i="32" s="1"/>
  <c r="E67" i="32"/>
  <c r="G67" i="32" s="1"/>
  <c r="E68" i="32"/>
  <c r="G68" i="32" s="1"/>
  <c r="E69" i="32"/>
  <c r="G69" i="32" s="1"/>
  <c r="E70" i="32"/>
  <c r="G70" i="32" s="1"/>
  <c r="E71" i="32"/>
  <c r="G71" i="32" s="1"/>
  <c r="E72" i="32"/>
  <c r="G72" i="32" s="1"/>
  <c r="E73" i="32"/>
  <c r="G73" i="32" s="1"/>
  <c r="E74" i="32"/>
  <c r="G74" i="32" s="1"/>
  <c r="E75" i="32"/>
  <c r="G75" i="32" s="1"/>
  <c r="E76" i="32"/>
  <c r="G76" i="32" s="1"/>
  <c r="E77" i="32"/>
  <c r="G77" i="32" s="1"/>
  <c r="E78" i="32"/>
  <c r="G78" i="32" s="1"/>
  <c r="E79" i="32"/>
  <c r="G79" i="32" s="1"/>
  <c r="E80" i="32"/>
  <c r="G80" i="32" s="1"/>
  <c r="E81" i="32"/>
  <c r="G81" i="32" s="1"/>
  <c r="E82" i="32"/>
  <c r="G82" i="32" s="1"/>
  <c r="E83" i="32"/>
  <c r="G83" i="32" s="1"/>
  <c r="E84" i="32"/>
  <c r="G84" i="32" s="1"/>
  <c r="E85" i="32"/>
  <c r="G85" i="32" s="1"/>
  <c r="E86" i="32"/>
  <c r="G86" i="32" s="1"/>
  <c r="E87" i="32"/>
  <c r="G87" i="32" s="1"/>
  <c r="E88" i="32"/>
  <c r="G88" i="32" s="1"/>
  <c r="E89" i="32"/>
  <c r="G89" i="32" s="1"/>
  <c r="E90" i="32"/>
  <c r="G90" i="32" s="1"/>
  <c r="E91" i="32"/>
  <c r="G91" i="32" s="1"/>
  <c r="E92" i="32"/>
  <c r="G92" i="32" s="1"/>
  <c r="E93" i="32"/>
  <c r="G93" i="32" s="1"/>
  <c r="E94" i="32"/>
  <c r="G94" i="32" s="1"/>
  <c r="E95" i="32"/>
  <c r="G95" i="32" s="1"/>
  <c r="E96" i="32"/>
  <c r="G96" i="32" s="1"/>
  <c r="E97" i="32"/>
  <c r="G97" i="32" s="1"/>
  <c r="E98" i="32"/>
  <c r="G98" i="32" s="1"/>
  <c r="E99" i="32"/>
  <c r="G99" i="32" s="1"/>
  <c r="E100" i="32"/>
  <c r="G100" i="32" s="1"/>
  <c r="E101" i="32"/>
  <c r="G101" i="32" s="1"/>
  <c r="E102" i="32"/>
  <c r="G102" i="32" s="1"/>
  <c r="E103" i="32"/>
  <c r="G103" i="32" s="1"/>
  <c r="E104" i="32"/>
  <c r="G104" i="32" s="1"/>
  <c r="E105" i="32"/>
  <c r="G105" i="32" s="1"/>
  <c r="E106" i="32"/>
  <c r="G106" i="32" s="1"/>
  <c r="E107" i="32"/>
  <c r="G107" i="32" s="1"/>
  <c r="E108" i="32"/>
  <c r="G108" i="32" s="1"/>
  <c r="E109" i="32"/>
  <c r="G109" i="32" s="1"/>
  <c r="E110" i="32"/>
  <c r="G110" i="32" s="1"/>
  <c r="E111" i="32"/>
  <c r="G111" i="32" s="1"/>
  <c r="E112" i="32"/>
  <c r="G112" i="32" s="1"/>
  <c r="E113" i="32"/>
  <c r="G113" i="32" s="1"/>
  <c r="E114" i="32"/>
  <c r="G114" i="32" s="1"/>
  <c r="E115" i="32"/>
  <c r="G115" i="32" s="1"/>
  <c r="E116" i="32"/>
  <c r="G116" i="32" s="1"/>
  <c r="E117" i="32"/>
  <c r="G117" i="32" s="1"/>
  <c r="E118" i="32"/>
  <c r="G118" i="32" s="1"/>
  <c r="E119" i="32"/>
  <c r="G119" i="32" s="1"/>
  <c r="E120" i="32"/>
  <c r="G120" i="32" s="1"/>
  <c r="E121" i="32"/>
  <c r="G121" i="32" s="1"/>
  <c r="E122" i="32"/>
  <c r="G122" i="32" s="1"/>
  <c r="E123" i="32"/>
  <c r="G123" i="32" s="1"/>
  <c r="E124" i="32"/>
  <c r="G124" i="32" s="1"/>
  <c r="E125" i="32"/>
  <c r="G125" i="32" s="1"/>
  <c r="E126" i="32"/>
  <c r="G126" i="32" s="1"/>
  <c r="E127" i="32"/>
  <c r="G127" i="32" s="1"/>
  <c r="E128" i="32"/>
  <c r="G128" i="32" s="1"/>
  <c r="E129" i="32"/>
  <c r="G129" i="32" s="1"/>
  <c r="E130" i="32"/>
  <c r="G130" i="32" s="1"/>
  <c r="E3" i="32"/>
  <c r="G3" i="32" s="1"/>
  <c r="P102" i="27" l="1"/>
  <c r="P103" i="27"/>
  <c r="P104" i="27"/>
  <c r="P105" i="27"/>
  <c r="P106" i="27"/>
  <c r="P107" i="27"/>
  <c r="P108" i="27"/>
  <c r="P109" i="27"/>
  <c r="P110" i="27"/>
  <c r="P111" i="27"/>
  <c r="P112" i="27"/>
  <c r="P113" i="27"/>
  <c r="P114" i="27"/>
  <c r="P115" i="27"/>
  <c r="P101" i="27"/>
  <c r="Y85" i="27" l="1"/>
  <c r="Y86" i="27"/>
  <c r="Y87" i="27"/>
  <c r="Y88" i="27"/>
  <c r="Y89" i="27"/>
  <c r="Y90" i="27"/>
  <c r="Y84" i="27"/>
  <c r="Y83" i="27"/>
  <c r="Y80" i="27" l="1"/>
  <c r="Y79" i="27"/>
  <c r="Y49" i="27"/>
  <c r="Y50" i="27"/>
  <c r="Y51" i="27"/>
  <c r="Y52" i="27"/>
  <c r="Y53" i="27"/>
  <c r="Y54" i="27"/>
  <c r="Y55" i="27"/>
  <c r="Y56" i="27"/>
  <c r="Y57" i="27"/>
  <c r="Y58" i="27"/>
  <c r="Y59" i="27"/>
  <c r="Y60" i="27"/>
  <c r="Y61" i="27"/>
  <c r="Y62" i="27"/>
  <c r="Y63" i="27"/>
  <c r="Y64" i="27"/>
  <c r="Y65" i="27"/>
  <c r="Y66" i="27"/>
  <c r="Y67" i="27"/>
  <c r="Y68" i="27"/>
  <c r="Y69" i="27"/>
  <c r="Y70" i="27"/>
  <c r="Y71" i="27"/>
  <c r="Y72" i="27"/>
  <c r="Y73" i="27"/>
  <c r="Y74" i="27"/>
  <c r="Y75" i="27"/>
  <c r="Y76" i="27"/>
  <c r="Y77" i="27"/>
  <c r="Y78" i="27"/>
  <c r="Y81" i="27"/>
  <c r="Y82" i="27"/>
  <c r="Y30" i="27"/>
  <c r="Y31" i="27"/>
  <c r="Y32" i="27"/>
  <c r="Y33" i="27"/>
  <c r="Y23" i="27"/>
  <c r="Y24" i="27"/>
  <c r="Y25" i="27"/>
  <c r="Y4" i="27" l="1"/>
  <c r="Y5" i="27"/>
  <c r="Y6" i="27"/>
  <c r="Y7" i="27"/>
  <c r="Y8" i="27"/>
  <c r="Y9" i="27"/>
  <c r="Y10" i="27"/>
  <c r="Y11" i="27"/>
  <c r="Y12" i="27"/>
  <c r="Y13" i="27"/>
  <c r="Y14" i="27"/>
  <c r="Y15" i="27"/>
  <c r="Y16" i="27"/>
  <c r="Y17" i="27"/>
  <c r="Y18" i="27"/>
  <c r="Y19" i="27"/>
  <c r="Y20" i="27"/>
  <c r="Y21" i="27"/>
  <c r="Y22" i="27"/>
  <c r="Y26" i="27"/>
  <c r="Y27" i="27"/>
  <c r="Y28" i="27"/>
  <c r="Y29" i="27"/>
  <c r="Y34" i="27"/>
  <c r="Y35" i="27"/>
  <c r="Y36" i="27"/>
  <c r="Y37" i="27"/>
  <c r="Y38" i="27"/>
  <c r="Y44" i="27"/>
  <c r="Y40" i="27"/>
  <c r="Y42" i="27"/>
  <c r="Y43" i="27"/>
  <c r="Y41" i="27"/>
  <c r="Y48" i="27"/>
  <c r="Y39" i="27"/>
  <c r="Y47" i="27"/>
  <c r="Y45" i="27"/>
  <c r="Y46" i="27"/>
  <c r="Y3" i="27"/>
  <c r="P100" i="27" l="1"/>
  <c r="P99" i="27"/>
  <c r="P98" i="27"/>
  <c r="P97" i="27"/>
  <c r="P96" i="27"/>
  <c r="P95" i="27"/>
  <c r="P94" i="27"/>
  <c r="P93" i="27"/>
  <c r="P92" i="27"/>
  <c r="P91" i="27"/>
  <c r="P90" i="27"/>
  <c r="P89" i="27"/>
  <c r="P88" i="27"/>
  <c r="P87" i="27"/>
  <c r="P86" i="27"/>
  <c r="P85" i="27"/>
  <c r="P84" i="27"/>
  <c r="P83" i="27"/>
  <c r="P82" i="27"/>
  <c r="P81" i="27"/>
  <c r="P80" i="27"/>
  <c r="P79" i="27"/>
  <c r="P78" i="27"/>
  <c r="P77" i="27"/>
  <c r="P76" i="27"/>
  <c r="P75" i="27"/>
  <c r="P74" i="27"/>
  <c r="P73" i="27"/>
  <c r="P72" i="27"/>
  <c r="P71" i="27"/>
  <c r="P70" i="27"/>
  <c r="P69" i="27"/>
  <c r="P68" i="27"/>
  <c r="P67" i="27"/>
  <c r="P66" i="27"/>
  <c r="P65" i="27"/>
  <c r="P64" i="27"/>
  <c r="P63" i="27"/>
  <c r="P62" i="27"/>
  <c r="P61" i="27"/>
  <c r="P60" i="27"/>
  <c r="P59" i="27"/>
  <c r="P58" i="27"/>
  <c r="P57" i="27"/>
  <c r="P56" i="27"/>
  <c r="P55" i="27"/>
  <c r="P54" i="27"/>
  <c r="P53" i="27"/>
  <c r="P52" i="27"/>
  <c r="P51" i="27"/>
  <c r="P50" i="27"/>
  <c r="P49" i="27"/>
  <c r="P48" i="27"/>
  <c r="P47" i="27"/>
  <c r="P46" i="27"/>
  <c r="P45" i="27"/>
  <c r="P44" i="27"/>
  <c r="P43" i="27"/>
  <c r="P42" i="27"/>
  <c r="P41" i="27"/>
  <c r="P40" i="27"/>
  <c r="P39" i="27"/>
  <c r="P38" i="27"/>
  <c r="P37" i="27"/>
  <c r="P36" i="27"/>
  <c r="P35" i="27"/>
  <c r="P34" i="27"/>
  <c r="P33" i="27"/>
  <c r="P32" i="27"/>
  <c r="P31" i="27"/>
  <c r="P30" i="27"/>
  <c r="P29" i="27"/>
  <c r="P28" i="27"/>
  <c r="P27" i="27"/>
  <c r="P26" i="27"/>
  <c r="P25" i="27"/>
  <c r="P24" i="27"/>
  <c r="P23" i="27"/>
  <c r="P22" i="27"/>
  <c r="P21" i="27"/>
  <c r="P20" i="27"/>
  <c r="P19" i="27"/>
  <c r="P18" i="27"/>
  <c r="P17" i="27"/>
  <c r="P16" i="27"/>
  <c r="P15" i="27"/>
  <c r="P14" i="27"/>
  <c r="P13" i="27"/>
  <c r="P12" i="27"/>
  <c r="P11" i="27"/>
  <c r="P10" i="27"/>
  <c r="P9" i="27"/>
  <c r="P8" i="27"/>
  <c r="P7" i="27"/>
  <c r="P6" i="27"/>
  <c r="P5" i="27"/>
  <c r="P4" i="27"/>
  <c r="P3" i="27"/>
  <c r="G466" i="1" l="1" a="1"/>
  <c r="G467" i="1" s="1"/>
  <c r="G470" i="1" l="1"/>
  <c r="G468" i="1"/>
  <c r="G466" i="1"/>
  <c r="G469" i="1"/>
  <c r="G471" i="1" l="1"/>
  <c r="H466" i="1" s="1"/>
  <c r="H467" i="1" l="1"/>
  <c r="H469" i="1"/>
  <c r="H468" i="1"/>
  <c r="H471" i="1" l="1"/>
</calcChain>
</file>

<file path=xl/sharedStrings.xml><?xml version="1.0" encoding="utf-8"?>
<sst xmlns="http://schemas.openxmlformats.org/spreadsheetml/2006/main" count="6600" uniqueCount="1968">
  <si>
    <t>Reference ID</t>
  </si>
  <si>
    <t>Search term</t>
  </si>
  <si>
    <t>Source</t>
  </si>
  <si>
    <t>Searched by</t>
  </si>
  <si>
    <t>Total number of returned documents</t>
  </si>
  <si>
    <t>Relevant literature</t>
  </si>
  <si>
    <t>Year</t>
  </si>
  <si>
    <t>Title</t>
  </si>
  <si>
    <t>Journal</t>
  </si>
  <si>
    <t>Leading author</t>
  </si>
  <si>
    <t>Link</t>
  </si>
  <si>
    <t>Ann.:</t>
  </si>
  <si>
    <t/>
  </si>
  <si>
    <t>wind intermittency OR intermittent OR "variable generation"</t>
  </si>
  <si>
    <t>google scholar</t>
  </si>
  <si>
    <t>FS</t>
  </si>
  <si>
    <t>The costs of wind’s intermittency in Germany: application of a stochastic electricity market model</t>
  </si>
  <si>
    <t>Euro. Trans. Electr. Power</t>
  </si>
  <si>
    <t>DJ Swider</t>
  </si>
  <si>
    <t>http://onlinelibrary.wiley.com/doi/10.1002/etep.125/pdf</t>
  </si>
  <si>
    <t>Intermittent wind generation in optimal power flow dispatching</t>
  </si>
  <si>
    <t>Generation, Transmission &amp; Distribution</t>
  </si>
  <si>
    <t>RA Jabr</t>
  </si>
  <si>
    <t>http://ieeexplore.ieee.org/xpls/abs_all.jsp?arnumber=4721662&amp;tag=1</t>
  </si>
  <si>
    <t>Controllable and affordable utility-scale electricity from intermittent wind resources and compressed air energy storage (CAES)</t>
  </si>
  <si>
    <t>Energy</t>
  </si>
  <si>
    <t>A Cavallo</t>
  </si>
  <si>
    <t>http://www.sciencedirect.com/science/article/pii/S0360544206000776</t>
  </si>
  <si>
    <t>A Stochastic Unit-commitment Model for the Evaluation of the Impacts of Integration of Large Amounts of Intermittent Wind Power</t>
  </si>
  <si>
    <t>Probabilistic Methods Applied to Power Systems</t>
  </si>
  <si>
    <t>R Barth</t>
  </si>
  <si>
    <t>http://ieeexplore.ieee.org/xpls/abs_all.jsp?arnumber=4202207&amp;tag=1</t>
  </si>
  <si>
    <t>Overview of wind power intermittency impacts on power systems</t>
  </si>
  <si>
    <t>Electronic Power Systems Research</t>
  </si>
  <si>
    <t>MH Albadi</t>
  </si>
  <si>
    <t>http://www.sciencedirect.com/science/article/pii/S0378779609002764</t>
  </si>
  <si>
    <t>The economics of large-scale wind power in a carbon constrained world</t>
  </si>
  <si>
    <t>Energy Policy</t>
  </si>
  <si>
    <t>JF DeCarolis</t>
  </si>
  <si>
    <t>http://www.sciencedirect.com/science/article/pii/S0301421504001740</t>
  </si>
  <si>
    <t>The intermittency of wind, solar, and renewable electricity generators: Technical barrier or rhetorical excuse?</t>
  </si>
  <si>
    <t>Utilities Policy</t>
  </si>
  <si>
    <t>BK Sovacool</t>
  </si>
  <si>
    <t>http://www.sciencedirect.com/science/article/pii/S0957178708000611</t>
  </si>
  <si>
    <t>A review of wind power and wind speed forecasting methods with different time horizons</t>
  </si>
  <si>
    <t>North American Power Symposium</t>
  </si>
  <si>
    <t>SS Soman</t>
  </si>
  <si>
    <t>http://ieeexplore.ieee.org/xpls/abs_all.jsp?arnumber=5619586</t>
  </si>
  <si>
    <t>Supplying Baseload Power and Reducing Transmission Requirements by Interconnecting Wind Farms</t>
  </si>
  <si>
    <t>J. Appl. Meteor. Climatol.</t>
  </si>
  <si>
    <t>CL Archer</t>
  </si>
  <si>
    <t>http://journals.ametsoc.org/doi/abs/10.1175/2007JAMC1538.1</t>
  </si>
  <si>
    <t>Wind Power</t>
  </si>
  <si>
    <t>Cambridge University Press (Book)</t>
  </si>
  <si>
    <t>P Musgrove</t>
  </si>
  <si>
    <t>http://www.langtoninfo.com/web_content/9780521762380_frontmatter.pdf</t>
  </si>
  <si>
    <t>Exploring the impact on cost and electricity production of high penetration levels of intermittent electricity in OECD Europe and the USA, results for wind energy</t>
  </si>
  <si>
    <t>M Hoogwijk</t>
  </si>
  <si>
    <t>http://www.sciencedirect.com/science/article/pii/S0360544206002544</t>
  </si>
  <si>
    <t>Security-Constrained Unit Commitment With Volatile Wind Power Generation</t>
  </si>
  <si>
    <t>Power Systems</t>
  </si>
  <si>
    <t>J Wang</t>
  </si>
  <si>
    <t>http://ieeexplore.ieee.org/xpls/abs_all.jsp?arnumber=4556639</t>
  </si>
  <si>
    <t>Technical challenges associated with the integration of wind power into power systems</t>
  </si>
  <si>
    <t>Renewable and Sustainable Energy Reviews</t>
  </si>
  <si>
    <t>PS Georgilakis</t>
  </si>
  <si>
    <t>http://www.sciencedirect.com/science/article/pii/S1364032106001250</t>
  </si>
  <si>
    <t>Comparing the Costs of Intermittent and Dispatchable Electricity Generating Technologies</t>
  </si>
  <si>
    <t>The American Economic Review</t>
  </si>
  <si>
    <t>PL Jowsko</t>
  </si>
  <si>
    <t>http://www.jstor.org/stable/29783746?seq=2#page_scan_tab_contents</t>
  </si>
  <si>
    <t>Social representations of intermittency and the shaping of public support for wind energy in the UK</t>
  </si>
  <si>
    <t>International Journal of Global Energy Issues</t>
  </si>
  <si>
    <t>P Devine-Wright</t>
  </si>
  <si>
    <t>http://www.inderscienceonline.com/doi/abs/10.1504/IJGEI.2006.008994</t>
  </si>
  <si>
    <t>STATCOM with energy storage for smoothing intermittent wind farm power</t>
  </si>
  <si>
    <t>Power and Energy Society General Meeting</t>
  </si>
  <si>
    <t>ME Baran</t>
  </si>
  <si>
    <t>http://ieeexplore.ieee.org/xpls/abs_all.jsp?arnumber=4596546&amp;tag=1</t>
  </si>
  <si>
    <t>Baseload wind energy: modeling the competition between gas turbines and compressed air energy storage for supplemental generation</t>
  </si>
  <si>
    <t>JB Greenblatt</t>
  </si>
  <si>
    <t>http://www.sciencedirect.com/science/article/pii/S0301421506001509</t>
  </si>
  <si>
    <t>Wind power: the economic impact of intermittency</t>
  </si>
  <si>
    <t>Letters in Spatial and Resource Sciences</t>
  </si>
  <si>
    <t>GC van Kooten</t>
  </si>
  <si>
    <t>http://link.springer.com/article/10.1007/s12076-009-0031-y</t>
  </si>
  <si>
    <t>Compressed Air Energy Storage in an Electricity System With Significant Wind Power Generation</t>
  </si>
  <si>
    <t>Energy Conversion</t>
  </si>
  <si>
    <t>http://ieeexplore.ieee.org/xpls/abs_all.jsp?arnumber=4106018</t>
  </si>
  <si>
    <t>Improving the technical, environmental and social performance of wind energy systems using biomass-based energy storage</t>
  </si>
  <si>
    <t>Renewable Energy</t>
  </si>
  <si>
    <t>P Denholm</t>
  </si>
  <si>
    <t>http://www.sciencedirect.com/science/article/pii/S0960148105001771</t>
  </si>
  <si>
    <t>Control Strategies for Battery Energy Storage for Wind Farm Dispatching</t>
  </si>
  <si>
    <t>S Teleke</t>
  </si>
  <si>
    <t>http://ieeexplore.ieee.org/xpls/abs_all.jsp?arnumber=5071241&amp;tag=1</t>
  </si>
  <si>
    <t>Security-constrained unit commitment with wind generation and compressed air energy storage</t>
  </si>
  <si>
    <t>H Daneshi</t>
  </si>
  <si>
    <t>http://ieeexplore.ieee.org/xpls/abs_all.jsp?arnumber=6141132</t>
  </si>
  <si>
    <t>Wind power and market power in competitive markets</t>
  </si>
  <si>
    <t>P Twomey</t>
  </si>
  <si>
    <t>http://www.sciencedirect.com/science/article/pii/S0301421509005473</t>
  </si>
  <si>
    <t>Rule-Based Control of Battery Energy Storage for Dispatching Intermittent Renewable Sources</t>
  </si>
  <si>
    <t>Sustainable Energy</t>
  </si>
  <si>
    <t>http://ieeexplore.ieee.org/xpls/abs_all.jsp?arnumber=5545425</t>
  </si>
  <si>
    <t>Energy for a sustainable world</t>
  </si>
  <si>
    <t>Wiley-VCH</t>
  </si>
  <si>
    <t>N Armaroli</t>
  </si>
  <si>
    <t>http://www.isof.cnr.it/sites/default/files/users/armaroli/Wiley_2011.pdf</t>
  </si>
  <si>
    <t>Impact of Intermittent Renewables on Electricity Generation System Operation</t>
  </si>
  <si>
    <t>Economics of Energy &amp; Environmental Policy</t>
  </si>
  <si>
    <t>IJ Perez-Arriaga</t>
  </si>
  <si>
    <t>http://www.iaee.org/en/publications/eeeparticle.aspx?id=17</t>
  </si>
  <si>
    <t>Balancing risk and cost in fuzzy economic dispatch including wind power penetration based on particle swarm optimization</t>
  </si>
  <si>
    <t>Electric Power Systems Research</t>
  </si>
  <si>
    <t>L Wang</t>
  </si>
  <si>
    <t>http://www.sciencedirect.com/science/article/pii/S0378779608000023</t>
  </si>
  <si>
    <t>Optimal wind power deployment in Europe - a portfolio approach</t>
  </si>
  <si>
    <t>F Roques</t>
  </si>
  <si>
    <t>http://www.sciencedirect.com/science/article/pii/S030142150900545X</t>
  </si>
  <si>
    <t>Wind and Energy Markets: A Case Study of Texas</t>
  </si>
  <si>
    <t>Systems Journal</t>
  </si>
  <si>
    <t>R Baldick</t>
  </si>
  <si>
    <t>http://ieeexplore.ieee.org/xpls/abs_all.jsp?arnumber=6007040&amp;tag=1</t>
  </si>
  <si>
    <t>Design and economical analysis of hybrid PV–wind systems connected to the grid for the intermittent production of hydrogen</t>
  </si>
  <si>
    <t>R Dufo-López</t>
  </si>
  <si>
    <t>http://www.sciencedirect.com/science/article/pii/S0301421509002237</t>
  </si>
  <si>
    <t>Electricity market participation of wind farms: the success story of the Spanish pragmatism</t>
  </si>
  <si>
    <t>JR Abbad</t>
  </si>
  <si>
    <t>http://www.sciencedirect.com/science/article/pii/S0301421509005552</t>
  </si>
  <si>
    <t>Meeting residential space heating demand with wind-generated electricity</t>
  </si>
  <si>
    <t>L Hughes</t>
  </si>
  <si>
    <t>http://www.sciencedirect.com/science/article/pii/S096014810900490X</t>
  </si>
  <si>
    <t>The role of demand-side management in the grid integration of wind power</t>
  </si>
  <si>
    <t>Applied Energy</t>
  </si>
  <si>
    <t>RS Moura</t>
  </si>
  <si>
    <t>http://www.sciencedirect.com/science/article/pii/S0306261910000838</t>
  </si>
  <si>
    <t>Network constrained wind integration on Vancouver Island</t>
  </si>
  <si>
    <t>JD Maddaloni</t>
  </si>
  <si>
    <t>http://www.sciencedirect.com/science/article/pii/S0301421507004454</t>
  </si>
  <si>
    <t>Optimal Control of Battery Energy Storage for Wind Farm Dispatching</t>
  </si>
  <si>
    <t>http://ieeexplore.ieee.org/xpls/abs_all.jsp?arnumber=5432995</t>
  </si>
  <si>
    <t>Value of storage in providing balancing services for electricity generation systems with high wind penetration</t>
  </si>
  <si>
    <t>Journal of Power Sources</t>
  </si>
  <si>
    <t>M Black</t>
  </si>
  <si>
    <t>http://www.sciencedirect.com/science/article/pii/S0378775305008499</t>
  </si>
  <si>
    <t>Balancing and Intraday Market Design: Options for Wind Integration</t>
  </si>
  <si>
    <t>DIW Berlin Discussion Paper No. 1162</t>
  </si>
  <si>
    <t>F Borggrefe</t>
  </si>
  <si>
    <t>http://papers.ssrn.com/sol3/papers.cfm?abstract_id=1945724</t>
  </si>
  <si>
    <t>Model predictive dispatch in electric energy systems with intermittent resources</t>
  </si>
  <si>
    <t>Systems, Man and Cybernetics</t>
  </si>
  <si>
    <t>L Xie</t>
  </si>
  <si>
    <t>http://ieeexplore.ieee.org/xpls/abs_all.jsp?arnumber=4811248&amp;tag=1</t>
  </si>
  <si>
    <t>Optimization of a wind-power fuel-cell hybrid system in an autonomous electrical network environment</t>
  </si>
  <si>
    <t>E Kasseris</t>
  </si>
  <si>
    <t>http://www.sciencedirect.com/science/article/pii/S0960148106000127</t>
  </si>
  <si>
    <t>Risk constrained self-scheduling of hydro/wind units for short term electricity markets considering intermittency and uncertainty</t>
  </si>
  <si>
    <t>HM Ghadikolaei</t>
  </si>
  <si>
    <t>http://www.sciencedirect.com/science/article/pii/S1364032112002894</t>
  </si>
  <si>
    <t>The spectrum of power from wind turbines</t>
  </si>
  <si>
    <t>J Apt</t>
  </si>
  <si>
    <t>http://www.sciencedirect.com/science/article/pii/S0378775307005381</t>
  </si>
  <si>
    <t>Flow Batteries for Enhancing Wind Power Integration</t>
  </si>
  <si>
    <t>DD Banham-Hall</t>
  </si>
  <si>
    <t>http://ieeexplore.ieee.org/xpls/abs_all.jsp?arnumber=6158621</t>
  </si>
  <si>
    <t>Model predictive economic/environmental dispatch of power systems with intermittent resources</t>
  </si>
  <si>
    <t>Power &amp; Energy Society General Meeting</t>
  </si>
  <si>
    <t>http://ieeexplore.ieee.org/xpls/abs_all.jsp?arnumber=5275940</t>
  </si>
  <si>
    <t>Recent Wind Power Integration Study in China [J]</t>
  </si>
  <si>
    <t>Power system technology</t>
  </si>
  <si>
    <t>H Dai</t>
  </si>
  <si>
    <t>http://en.cnki.com.cn/Article_en/CJFDTOTAL-DWJS200720005.htm</t>
  </si>
  <si>
    <t>MPC for reducing energy storage requirement of wind power systems</t>
  </si>
  <si>
    <t>American Control Conference (ACC)</t>
  </si>
  <si>
    <t>CT Li</t>
  </si>
  <si>
    <t>http://ieeexplore.ieee.org/xpls/abs_all.jsp?arnumber=6580876</t>
  </si>
  <si>
    <t>Reliability Evaluation Considering Wind and Hydro Power Coordination</t>
  </si>
  <si>
    <t>R Karki</t>
  </si>
  <si>
    <t>http://ieeexplore.ieee.org/xpls/abs_all.jsp?arnumber=5325712</t>
  </si>
  <si>
    <t>Demand response management in power systems using particle swarm optimization</t>
  </si>
  <si>
    <t>Intelligent Systems</t>
  </si>
  <si>
    <t>P Faria</t>
  </si>
  <si>
    <t>http://www.computer.org/web/csdl/index/-/csdl/mags/ex/2013/04/mex2013040043.html</t>
  </si>
  <si>
    <t>The integration of PHEV aggregations into a power system with wind resources</t>
  </si>
  <si>
    <t>Bulk Power System Dynamics and Control</t>
  </si>
  <si>
    <t>C Guille</t>
  </si>
  <si>
    <t>http://ieeexplore.ieee.org/stamp/stamp.jsp?tp=&amp;arnumber=5563263</t>
  </si>
  <si>
    <t>Using vehicle-to-grid to maximize the integration of intermittent renewable energy resources in islanded electric grids</t>
  </si>
  <si>
    <t>Clean Electrical Power</t>
  </si>
  <si>
    <t>JA Peas Lopes</t>
  </si>
  <si>
    <t>http://ieeexplore.ieee.org/xpls/abs_all.jsp?arnumber=5212041</t>
  </si>
  <si>
    <t>Impact of wind generation on the operation and development of the UK electricity systems</t>
  </si>
  <si>
    <t>G Strbac</t>
  </si>
  <si>
    <t>http://www.sciencedirect.com/science/article/pii/S0378779606001921</t>
  </si>
  <si>
    <t>Management of electric vehicle charging to mitigate renewable generation intermittency and distribution network congestion</t>
  </si>
  <si>
    <t>Decision and Control</t>
  </si>
  <si>
    <t>M Caramanis</t>
  </si>
  <si>
    <t>http://ieeexplore.ieee.org/xpls/abs_all.jsp?arnumber=5399955</t>
  </si>
  <si>
    <t>Market behaviour with large amounts of intermittent generation</t>
  </si>
  <si>
    <t>R Green</t>
  </si>
  <si>
    <t>http://www.sciencedirect.com/science/article/pii/S0301421509005461</t>
  </si>
  <si>
    <t>Balancing management mechanisms for intermittent power sources — A case study for wind power in Belgium</t>
  </si>
  <si>
    <t>Energy Market</t>
  </si>
  <si>
    <t>K de Vos</t>
  </si>
  <si>
    <t>http://ieeexplore.ieee.org/xpls/abs_all.jsp?arnumber=5207190</t>
  </si>
  <si>
    <t>Synergistic control of plug-in vehicle charging and wind power scheduling</t>
  </si>
  <si>
    <t>http://ieeexplore.ieee.org/xpls/abs_all.jsp?arnumber=6299004&amp;tag=1</t>
  </si>
  <si>
    <t>Wind Energy and Power System Operations: A Review of Wind Integration Studies to Date</t>
  </si>
  <si>
    <t>The Electricity Journal</t>
  </si>
  <si>
    <t>J DeCesaro</t>
  </si>
  <si>
    <t>http://www.sciencedirect.com/science/article/pii/S1040619009002668</t>
  </si>
  <si>
    <t>Supercapacitor Energy Storage for Wind Energy Applications</t>
  </si>
  <si>
    <t>Industry Applications</t>
  </si>
  <si>
    <t>C Abbey</t>
  </si>
  <si>
    <t>http://ieeexplore.ieee.org/xpls/abs_all.jsp?arnumber=4214991</t>
  </si>
  <si>
    <t>The impact of wind generation on the electricity spot-market price level and variance: The Texas experience</t>
  </si>
  <si>
    <t>CK Woo</t>
  </si>
  <si>
    <t>http://www.sciencedirect.com/science/article/pii/S0301421511002813</t>
  </si>
  <si>
    <t>Probabilistic power flow with correlated wind sources</t>
  </si>
  <si>
    <t>IET Generation, Transmission &amp; Distribution</t>
  </si>
  <si>
    <t>JM Morales</t>
  </si>
  <si>
    <t>http://digital-library.theiet.org/content/journals/10.1049/iet-gtd.2009.0639</t>
  </si>
  <si>
    <t>Cost-minimized combinations of wind power, solar power and electrochemical storage, powering the grid up to 99.9% of the time</t>
  </si>
  <si>
    <t>C Budischak</t>
  </si>
  <si>
    <t>http://www.sciencedirect.com/science/article/pii/S0378775312014759</t>
  </si>
  <si>
    <t>Wind/hydrogen hybrid systems: Opportunity for Ireland’s wind resource to provide consistent sustainable energy supply</t>
  </si>
  <si>
    <t>JG Carton</t>
  </si>
  <si>
    <t>http://www.sciencedirect.com/science/article/pii/S0360544210004895</t>
  </si>
  <si>
    <t>The economics of wind power with energy storage</t>
  </si>
  <si>
    <t>Energy Economics</t>
  </si>
  <si>
    <t>LE Benitez</t>
  </si>
  <si>
    <t>http://www.sciencedirect.com/science/article/pii/S0140988307000205</t>
  </si>
  <si>
    <t>Simulation of intermittent wind fields: A new approach</t>
  </si>
  <si>
    <t>ResearchGate</t>
  </si>
  <si>
    <t>D Kleinhans</t>
  </si>
  <si>
    <t>http://www.researchgate.net/profile/Alois_Schaffarczyk/publication/220031791_Simulation_of_intermittent_wind_fields_A_new_approach/links/0c9605322acb445b28000000.pdf</t>
  </si>
  <si>
    <t>Grid Integration of Intermittent Wind Generation: A Markovian Approach</t>
  </si>
  <si>
    <t>Smart Grid</t>
  </si>
  <si>
    <t>PB Luh</t>
  </si>
  <si>
    <t>http://ieeexplore.ieee.org/xpls/abs_all.jsp?arnumber=6576286&amp;tag=1</t>
  </si>
  <si>
    <t>The costs and impacts of intermittency: An ongoing debate: "East is East, and West is West, and never the twain shall meet."</t>
  </si>
  <si>
    <t>R Gross</t>
  </si>
  <si>
    <t>http://www.sciencedirect.com/science/article/pii/S0301421508002942</t>
  </si>
  <si>
    <t>Value of Bulk Energy Storage for Managing Wind Power Fluctuations</t>
  </si>
  <si>
    <t>http://ieeexplore.ieee.org/xpls/abs_all.jsp?arnumber=4105994</t>
  </si>
  <si>
    <t>Customer Security Assessment in Distribution Networks With High Penetration of Wind Power</t>
  </si>
  <si>
    <t>D Jayaweera</t>
  </si>
  <si>
    <t>http://ieeexplore.ieee.org/xpls/abs_all.jsp?arnumber=4282031</t>
  </si>
  <si>
    <t>Benefits of energy storage in power systems with high level of intermittent generation</t>
  </si>
  <si>
    <t>Electricity Distribution</t>
  </si>
  <si>
    <t>K Qian</t>
  </si>
  <si>
    <t>http://ieeexplore.ieee.org/xpls/abs_all.jsp?arnumber=5255493</t>
  </si>
  <si>
    <t>A model predictive control approach to the problem of wind power smoothing with controlled battery storage</t>
  </si>
  <si>
    <t>M Khalid</t>
  </si>
  <si>
    <t>http://www.sciencedirect.com/science/article/pii/S0960148109005175</t>
  </si>
  <si>
    <t>Robust unit commitment problem with demand response and wind energy</t>
  </si>
  <si>
    <t>L Zhao</t>
  </si>
  <si>
    <t>http://ieeexplore.ieee.org/xpls/abs_all.jsp?arnumber=6344860</t>
  </si>
  <si>
    <t>Design and operation of power systems with large amounts of wind power</t>
  </si>
  <si>
    <t>VTT research notes</t>
  </si>
  <si>
    <t>H Holttinen</t>
  </si>
  <si>
    <t>http://citeseerx.ist.psu.edu/viewdoc/summary?doi=10.1.1.295.6279</t>
  </si>
  <si>
    <t>solar intermittency OR intermittent OR "variable generation"</t>
  </si>
  <si>
    <t>The technical, geographical, and economic feasibility for solar energy to supply the energy needs of the US</t>
  </si>
  <si>
    <t>V Fthenakis</t>
  </si>
  <si>
    <t>http://www.sciencedirect.com/science/article/pii/S0301421508004072</t>
  </si>
  <si>
    <t>No quick switch to low-carbon energy</t>
  </si>
  <si>
    <t>Nature</t>
  </si>
  <si>
    <t>GJ Kramer</t>
  </si>
  <si>
    <t>http://www.nature.com/nature/journal/v462/n7273/full/462568a.html</t>
  </si>
  <si>
    <t>Evaluating the limits of solar photovoltaics (PV) in traditional electric power systems</t>
  </si>
  <si>
    <t>http://www.sciencedirect.com/science/article/pii/S0301421506003740</t>
  </si>
  <si>
    <t>Intermittency and the value of renewable energy</t>
  </si>
  <si>
    <t>NBER Working Paper</t>
  </si>
  <si>
    <t>G Gowrisankaran</t>
  </si>
  <si>
    <t>http://www.nber.org/papers/w17086</t>
  </si>
  <si>
    <t>Modeling and control of a solar thermal power plant with thermal energy storage</t>
  </si>
  <si>
    <t>Chemical Engineering Science</t>
  </si>
  <si>
    <t>KM Powell</t>
  </si>
  <si>
    <t>http://www.sciencedirect.com/science/article/pii/S0009250911008657</t>
  </si>
  <si>
    <t>A review on solar cold production through absorption technology</t>
  </si>
  <si>
    <t>HZ Hassan</t>
  </si>
  <si>
    <t>http://www.sciencedirect.com/science/article/pii/S1364032112003243</t>
  </si>
  <si>
    <t>Evaluating the limits of solar photovoltaics (PV) in electric power systems utilizing energy storage and other enabling technologies</t>
  </si>
  <si>
    <t>http://www.sciencedirect.com/science/article/pii/S030142150700095X</t>
  </si>
  <si>
    <t>Maximizing solar PV energy penetration using energy storage technology</t>
  </si>
  <si>
    <t>A Zahedi</t>
  </si>
  <si>
    <t>http://www.sciencedirect.com/science/article/pii/S1364032110002984</t>
  </si>
  <si>
    <t>The Economics of Solar Electricity</t>
  </si>
  <si>
    <t>Annual Review of Resource Economics</t>
  </si>
  <si>
    <t>E Baker</t>
  </si>
  <si>
    <t>http://www.annualreviews.org/eprint/xRx96NggYH7YgQTkHBEU/full/10.1146/annurev-resource-091912-151843</t>
  </si>
  <si>
    <t>PV plant intermittency mitigation using constant DC voltage PV and EV battery storage</t>
  </si>
  <si>
    <t>Innovative Technologies for an Efficient and Reliable Electricity Supply (CITRES)</t>
  </si>
  <si>
    <t>J Mossoba</t>
  </si>
  <si>
    <t>http://ieeexplore.ieee.org/xpls/abs_all.jsp?arnumber=5619791&amp;tag=1</t>
  </si>
  <si>
    <t>Very large-scale deployment of grid-connected solar photovoltaics in the United States: challenges and opportunities</t>
  </si>
  <si>
    <t>National Renewable Energy Laboratory</t>
  </si>
  <si>
    <t>http://reee.sacities.net/sites/default/files/Tech%20Review/SOLAR/PV/Very%20Large-Scale%20Deployment%20of%20Grid-Connected%20Solar%20Photovoltaics%20in%20the%20United%20States-%20Challenges%20and%20Opportunities.pdf</t>
  </si>
  <si>
    <t>Intermittent renewable energy: The only future source of hydrogen?</t>
  </si>
  <si>
    <t>International Journal of Hydrogen Energy</t>
  </si>
  <si>
    <t>P Moriarty</t>
  </si>
  <si>
    <t>http://www.sciencedirect.com/science/article/pii/S036031990600615X</t>
  </si>
  <si>
    <t>Concentrating on Solar Electricity and Fuels</t>
  </si>
  <si>
    <t>Science</t>
  </si>
  <si>
    <t>M Roeb</t>
  </si>
  <si>
    <t>http://www.sciencemag.org/content/329/5993/773.short</t>
  </si>
  <si>
    <t>Battery Energy Storage for Enabling Integration of Distributed Solar Power Generation</t>
  </si>
  <si>
    <t>CA Hill</t>
  </si>
  <si>
    <t>http://ieeexplore.ieee.org/xpls/abs_all.jsp?arnumber=6198748&amp;tag=1</t>
  </si>
  <si>
    <t>Present and future electricity storage for intermittent renewables</t>
  </si>
  <si>
    <t>Workshop Proceedings: The 10/50 Solution</t>
  </si>
  <si>
    <t>G Berry</t>
  </si>
  <si>
    <t>http://www.c2es.orgwww.c2es.org/docUploads/10-50_Berry.pdf</t>
  </si>
  <si>
    <t>Household Solar Photovoltaics: Supplier of Marginal Abatement, or Primary Source of Low-Emission Power?</t>
  </si>
  <si>
    <t>Sustainability</t>
  </si>
  <si>
    <t>G Palmer</t>
  </si>
  <si>
    <t>http://www.mdpi.com/2071-1050/5/4/1406/htm</t>
  </si>
  <si>
    <t>Enabling greater penetration of solar power via the use of CSP with thermal energy storage</t>
  </si>
  <si>
    <t>Solar Energy: Application, Economics, and Public Perception (Book)</t>
  </si>
  <si>
    <t>https://books.google.co.uk/books?hl=en&amp;lr=&amp;id=LrLNBQAAQBAJ&amp;oi=fnd&amp;pg=PA99&amp;dq=solar+intermittency+OR+intermittent+OR+%22variable+generation%22&amp;ots=L8Qye_4VuM&amp;sig=BHj6gh0dK-_ZkF7jA8huMoBBSho#v=onepage&amp;q&amp;f=false</t>
  </si>
  <si>
    <t>Experimental thermodynamic cycles and performance analysis of a solar-powered adsorptive icemaker in hot humid climate</t>
  </si>
  <si>
    <t>Renewable energy</t>
  </si>
  <si>
    <t>APF Leite</t>
  </si>
  <si>
    <t>http://www.sciencedirect.com/science/article/pii/S0960148106000723</t>
  </si>
  <si>
    <t>Solar Power Forecasting Performance – Towards Industry Standards</t>
  </si>
  <si>
    <t>Workshop on the Integration of Solar</t>
  </si>
  <si>
    <t>V Kostylev</t>
  </si>
  <si>
    <t>ams.confex.com</t>
  </si>
  <si>
    <t>A Review of Hybrid Solar–Fossil Fuel Power Generation Systems and Performance Metrics</t>
  </si>
  <si>
    <t>ASME</t>
  </si>
  <si>
    <t>EJ Sheu</t>
  </si>
  <si>
    <t>http://solarenergyengineering.asmedigitalcollection.asme.org/article.aspx?articleid=1556830</t>
  </si>
  <si>
    <t>Optimizing design of household scale hybrid solar photovoltaic+ combined heat and power systems for Ontario</t>
  </si>
  <si>
    <t>Photovoltaic Specialists Conference</t>
  </si>
  <si>
    <t>P Derewonko</t>
  </si>
  <si>
    <t>http://ieeexplore.ieee.org/xpls/abs_all.jsp?arnumber=5411247</t>
  </si>
  <si>
    <t>Forecasting solar power intermittency using ground-based cloud imaging</t>
  </si>
  <si>
    <t>World Renewable</t>
  </si>
  <si>
    <t>VT Jayadevan</t>
  </si>
  <si>
    <t>http://uapv.physics.arizona.edu/Publications/Submitted/NewRatio.pdf</t>
  </si>
  <si>
    <t>Fundamentals of solar cells: photovoltaic solar energy conversion</t>
  </si>
  <si>
    <t>Book</t>
  </si>
  <si>
    <t>R Bube</t>
  </si>
  <si>
    <t>https://books.google.co.uk/books?hl=en&amp;lr=&amp;id=eh7H-9cz-IoC&amp;oi=fnd&amp;pg=PP1&amp;dq=solar+intermittency+OR+intermittent+OR+%22variable+generation%22&amp;ots=wi24gje9Et&amp;sig=69IbkTgkm-uDGcU4vaaNW4pGutg#v=onepage&amp;q=solar%20intermittency%20OR%20intermittent%20OR%20%22variable%20generation%22&amp;f=false</t>
  </si>
  <si>
    <t>Technical analysis of an electric power system consisting of solar PV energy, wind power, and hydrogen fuel cell</t>
  </si>
  <si>
    <t>Power Engineering Conference</t>
  </si>
  <si>
    <t>http://ieeexplore.ieee.org/xpls/abs_all.jsp?arnumber=4548025&amp;tag=1</t>
  </si>
  <si>
    <t>Utilizing Load Response for Wind and Solar Integration and Power System Reliability</t>
  </si>
  <si>
    <t>WindPower</t>
  </si>
  <si>
    <t>M Milligan</t>
  </si>
  <si>
    <t>http://www.researchgate.net/profile/Brendan_Kirby/publication/228892998_Utilizing_Load_Response_for_Wind_and_Solar_Integration_and_Power_System_Reliability/links/02e7e530dd01633cd1000000.pdf</t>
  </si>
  <si>
    <t>Modeling the potential for thermal concentrating solar power technologies</t>
  </si>
  <si>
    <t>Y Zhang</t>
  </si>
  <si>
    <t>http://www.sciencedirect.com/science/article/pii/S0301421510006695</t>
  </si>
  <si>
    <t>Development of advanced solar assisted drying systems</t>
  </si>
  <si>
    <t>MYH Othman</t>
  </si>
  <si>
    <t>http://www.sciencedirect.com/science/article/pii/S0960148105002478</t>
  </si>
  <si>
    <t>Classification of daily solar radiation distributions using a mixture of Dirichlet distributions</t>
  </si>
  <si>
    <t>Solar Energy</t>
  </si>
  <si>
    <t>T Soubdhan</t>
  </si>
  <si>
    <t>http://www.sciencedirect.com/science/article/pii/S0038092X09000073</t>
  </si>
  <si>
    <t>Solar feed-in tariffs and the merit order effect: A study of the German electricity market</t>
  </si>
  <si>
    <t>AG Tveten</t>
  </si>
  <si>
    <t>http://www.sciencedirect.com/science/article/pii/S0301421513003960</t>
  </si>
  <si>
    <t>Experience on integration of solar thermal technologies with green buildings</t>
  </si>
  <si>
    <t>XQ Zhai</t>
  </si>
  <si>
    <t>http://www.sciencedirect.com/science/article/pii/S0960148107003011</t>
  </si>
  <si>
    <t>Solar microgrids to accommodate renewable intermittency</t>
  </si>
  <si>
    <t>Transmission and Distribution Conference and Exposition</t>
  </si>
  <si>
    <t>CH Wells</t>
  </si>
  <si>
    <t>http://ieeexplore.ieee.org/xpls/abs_all.jsp?arnumber=5484214&amp;tag=1</t>
  </si>
  <si>
    <t>storage intermittency OR intermittent OR "variable generation"</t>
  </si>
  <si>
    <t>PH</t>
  </si>
  <si>
    <t>Wide-Area Energy Storage and Management System to Balance Intermittent Resources in the Bonneville Power Administration and California ISO Control Areas</t>
  </si>
  <si>
    <t>Book (report)</t>
  </si>
  <si>
    <t>Y V Makarov</t>
  </si>
  <si>
    <t>http://www.pnl.gov/main/publications/external/technical_reports/PNNL-17574.pdf</t>
  </si>
  <si>
    <t>The role of energy storage with renewable electricity generation</t>
  </si>
  <si>
    <t>NREL Technical Report</t>
  </si>
  <si>
    <t>http://digitalscholarship.unlv.edu/renew_pubs/5/</t>
  </si>
  <si>
    <t>Grid flexibility and storage required to achieve very high penetration of variable renewable electricity</t>
  </si>
  <si>
    <t>http://www.sciencedirect.com/science/article/pii/S0301421511000292</t>
  </si>
  <si>
    <t>A Knowledge-Based Approach for Control of Two-Level Energy Storage for Wind Energy Systems</t>
  </si>
  <si>
    <t>Energy Conversion, IEEE Transactions</t>
  </si>
  <si>
    <t>http://ieeexplore.ieee.org/xpls/icp.jsp?arnumber=4738387</t>
  </si>
  <si>
    <t>The role of large scale storage in a GB low carbon energy future: Issues and policy challenges</t>
  </si>
  <si>
    <t>P Grünewald</t>
  </si>
  <si>
    <t>http://www.sciencedirect.com/science/article/pii/S0301421511004964</t>
  </si>
  <si>
    <t>Grid vs. storage in a 100% renewable Europe</t>
  </si>
  <si>
    <t>F Steinke</t>
  </si>
  <si>
    <t>http://www.sciencedirect.com/science/article/pii/S0960148112004818</t>
  </si>
  <si>
    <t>Planning for a 100% independent energy system based on smart energy storage for integration of renewables and CO2 emissions reduction</t>
  </si>
  <si>
    <t>Applied Thermal Engineering</t>
  </si>
  <si>
    <t>G Krajačić</t>
  </si>
  <si>
    <t>http://www.sciencedirect.com/science/article/pii/S1359431111001463</t>
  </si>
  <si>
    <t>A Stochastic Programming Framework for the Valuation of Electricity Storage</t>
  </si>
  <si>
    <t>IAEE Conference</t>
  </si>
  <si>
    <t>P Mokrian</t>
  </si>
  <si>
    <t>http://www.iaee.org/en/students/best_papers/PedramMokrian.pdf</t>
  </si>
  <si>
    <t>Energy Storage for the Electricity Grid: Benefits and Market Potential Assessment Guide</t>
  </si>
  <si>
    <t>US DoE Report</t>
  </si>
  <si>
    <t>J Eyer</t>
  </si>
  <si>
    <t>https://www.smartgrid.gov/files/energy_storage.pdf</t>
  </si>
  <si>
    <t>Combining the Wind Power Generation System with Energy Storage Equipments</t>
  </si>
  <si>
    <t>Industry Applications Society Annual Meeting</t>
  </si>
  <si>
    <t>Ming-Shun Lu</t>
  </si>
  <si>
    <t>http://ieeexplore.ieee.org/xpls/icp.jsp?arnumber=4658927</t>
  </si>
  <si>
    <t>renewable intermittency OR intermittent OR "variable generation"</t>
  </si>
  <si>
    <t>Renewable electricity and the grid: the challenge of variability</t>
  </si>
  <si>
    <t>G Boyle</t>
  </si>
  <si>
    <t>https://books.google.co.uk/books?hl=en&amp;lr=&amp;id=q3IAkdbntiwC&amp;oi=fnd&amp;pg=PR5&amp;dq=renewable+intermittency+OR+intermittent+OR+%22variable+generation%22&amp;ots=f9b7Hh4krK&amp;sig=b-3rWLLSISsp4zAvVy7P3CC9Lcw#v=onepage&amp;q=renewable%20intermittency%20OR%20intermittent%20OR%20%22variable%20generation%22&amp;f=false</t>
  </si>
  <si>
    <t>Renewable energy strategies for sustainable development</t>
  </si>
  <si>
    <t>H Lund</t>
  </si>
  <si>
    <t>http://www.sciencedirect.com/science/article/pii/S036054420600301X</t>
  </si>
  <si>
    <t>Metrics for evaluating the impacts of intermittent renewable generation on utility load-balancing</t>
  </si>
  <si>
    <t>B Tarroja</t>
  </si>
  <si>
    <t>http://www.sciencedirect.com/science/article/pii/S0360544212001351</t>
  </si>
  <si>
    <t>Switch: A Planning Tool for Power Systems with Large Shares of Intermittent Renewable Energy</t>
  </si>
  <si>
    <t>Environmental Science &amp; Technology</t>
  </si>
  <si>
    <t>M Fripp</t>
  </si>
  <si>
    <t>http://pubs.acs.org/doi/abs/10.1021/es204645c</t>
  </si>
  <si>
    <t>Effectiveness of Policies and Strategies to Increase the Capacity Utilisation of Intermittent Renewable Power Plants</t>
  </si>
  <si>
    <t>OECD Environment Working Papers</t>
  </si>
  <si>
    <t>D Benatia</t>
  </si>
  <si>
    <t>http://www.oecd-ilibrary.org/content/workingpaper/5k46j0trlrnn-en</t>
  </si>
  <si>
    <t>Buffering intermittent renewable power with hydroelectric generation: A case study in California</t>
  </si>
  <si>
    <t>Martin Chang</t>
  </si>
  <si>
    <t>http://www.sciencedirect.com/science/article/pii/S0306261913004108</t>
  </si>
  <si>
    <t>Impacts of large-scale Intermittent Renewable Energy Sources on electricity systems, and how these can be modeled</t>
  </si>
  <si>
    <t>Anne Brouwe</t>
  </si>
  <si>
    <t>http://www.sciencedirect.com/science/article/pii/S1364032114000987</t>
  </si>
  <si>
    <t>Large scale integration of intermittent renewable energy sources in the Greek power sector</t>
  </si>
  <si>
    <t>E Voumvoulakis</t>
  </si>
  <si>
    <t>http://www.sciencedirect.com/science/article/pii/S0301421512004697</t>
  </si>
  <si>
    <t xml:space="preserve">"capacity credit" AND wind OR solar OR storage </t>
  </si>
  <si>
    <t>Current methods to calculate capacity credit of wind power, IEA collaboration</t>
  </si>
  <si>
    <t>IEEE Power and Energy Society General Meeting - Conversion and Delivery of Electrical Energy in the 21st Century</t>
  </si>
  <si>
    <t>E Cornel</t>
  </si>
  <si>
    <t>http://ieeexplore.ieee.org/xpls/icp.jsp?arnumber=4596006</t>
  </si>
  <si>
    <t>An analytical formula for the capacity credit of wind power</t>
  </si>
  <si>
    <t>K Voorspools</t>
  </si>
  <si>
    <t>http://www.sciencedirect.com/science/article/pii/S0960148105000716</t>
  </si>
  <si>
    <t>Comparison of Capacity Credit Calculation Methods for Conventional Power Plants and Wind Power</t>
  </si>
  <si>
    <t>IEEE Transactions on Power Systems</t>
  </si>
  <si>
    <t>M Amelin</t>
  </si>
  <si>
    <t>http://ieeexplore.ieee.org/xpls/abs_all.jsp?arnumber=4806129</t>
  </si>
  <si>
    <t>A review of different methodologies used for calculation of wind power capacity credit</t>
  </si>
  <si>
    <t>L Söder</t>
  </si>
  <si>
    <t>http://ieeexplore.ieee.org/xpl/articleDetails.jsp?arnumber=4596666</t>
  </si>
  <si>
    <t>Germany’s wind energy: The potential for fossil capacity replacement and cost saving</t>
  </si>
  <si>
    <t>H Weigt</t>
  </si>
  <si>
    <t>http://www.sciencedirect.com/science/article/pii/S0306261908003139</t>
  </si>
  <si>
    <t>Reaching Consensus in the Definition of Photovoltaics Capacity Credit in the USA: A Practical Application of Satellite-Derived Solar Resource Data</t>
  </si>
  <si>
    <t>IEEE Journal of Selected Topics in Applied Earth Observations and Remote Sensing</t>
  </si>
  <si>
    <t>R Perez</t>
  </si>
  <si>
    <t>http://ieeexplore.ieee.org/xpls/icp.jsp?arnumber=4637912</t>
  </si>
  <si>
    <t>On the effect of spatial dispersion of wind power plants on the wind energy capacity credit in Greece</t>
  </si>
  <si>
    <t>Environmental Research Letters</t>
  </si>
  <si>
    <t>G Caralis</t>
  </si>
  <si>
    <t>http://iopscience.iop.org/article/10.1088/1748-9326/3/1/015003/meta</t>
  </si>
  <si>
    <t>Capacity Value of Wind Power</t>
  </si>
  <si>
    <t>A Keane</t>
  </si>
  <si>
    <t>http://ieeexplore.ieee.org/xpls/icp.jsp?arnumber=5565546</t>
  </si>
  <si>
    <t>The Capacity Value of Wind in the United States: Methods and Implementation</t>
  </si>
  <si>
    <t>http://www.sciencedirect.com/science/article/pii/S1040619006000108</t>
  </si>
  <si>
    <t>Impact of Wind Power Growth on Capacity Credit</t>
  </si>
  <si>
    <t>Canadian Conference on Electrical and Computer Engineering</t>
  </si>
  <si>
    <t>http://ieeexplore.ieee.org/xpls/icp.jsp?arnumber=4233084</t>
  </si>
  <si>
    <t>Establishing the role that wind generation may have in future generation portfolios</t>
  </si>
  <si>
    <t>R Doherty</t>
  </si>
  <si>
    <t>http://ieeexplore.ieee.org/xpls/icp.jsp?arnumber=1664979</t>
  </si>
  <si>
    <t>Determining the Capacity Value of Wind: An Updated Survey of Methods and Implementation</t>
  </si>
  <si>
    <t>NREL Conference Paper</t>
  </si>
  <si>
    <t>http://www.mapcruzin.com/wind-power-publications/wind-issues/43433.pdf</t>
  </si>
  <si>
    <t>Capacity Credit of Wind Generation Based on Minimum Resource Adequacy Procurement</t>
  </si>
  <si>
    <t>IEEE Transactions on Industry Applications</t>
  </si>
  <si>
    <t>S Zhu</t>
  </si>
  <si>
    <t>http://ieeexplore.ieee.org/xpls/icp.jsp?arnumber=6107576</t>
  </si>
  <si>
    <t>Impacts of large amounts of wind power on design and operation of power systems, results of IEA collaboration</t>
  </si>
  <si>
    <t>Wind Energy</t>
  </si>
  <si>
    <t>http://onlinelibrary.wiley.com/doi/10.1002/we.410/pdf</t>
  </si>
  <si>
    <t>Simplified methods for renewable generation capacity credit calculation: A critical review</t>
  </si>
  <si>
    <t>IEEE Power and Energy Society General Meeting</t>
  </si>
  <si>
    <t>C Dent</t>
  </si>
  <si>
    <t>http://ieeexplore.ieee.org/xpls/icp.jsp?arnumber=5589606</t>
  </si>
  <si>
    <t>A variance analysis of the capacity displaced by wind energy in Europe</t>
  </si>
  <si>
    <t>G Geibel</t>
  </si>
  <si>
    <t>http://onlinelibrary.wiley.com/doi/10.1002/we.208/abstract</t>
  </si>
  <si>
    <t>Capacity credit evaluation: A literature review</t>
  </si>
  <si>
    <t>Third International Conference on Electric Utility Deregulation and Restructuring and Power Technologies</t>
  </si>
  <si>
    <t>G Pudaruth</t>
  </si>
  <si>
    <t>http://ieeexplore.ieee.org/xpls/icp.jsp?arnumber=4523872</t>
  </si>
  <si>
    <t>Renewable energy credit driven wind power growth for system reliability</t>
  </si>
  <si>
    <t>http://www.sciencedirect.com/science/article/pii/S0378779606001593</t>
  </si>
  <si>
    <t>Capacity Value of Wind Power, Calculation, and Data Requirements: the Irish Power System Case</t>
  </si>
  <si>
    <t>B Hasche</t>
  </si>
  <si>
    <t>http://ieeexplore.ieee.org/xpls/icp.jsp?arnumber=5549975</t>
  </si>
  <si>
    <t>A Reliability Model of Large Wind Farms for Power System Adequacy Studies</t>
  </si>
  <si>
    <t>IEEE Transactions on Energy Conversion</t>
  </si>
  <si>
    <t>A Dobakhshari</t>
  </si>
  <si>
    <t>http://ieeexplore.ieee.org/xpls/icp.jsp?arnumber=5224024</t>
  </si>
  <si>
    <t>Impact of pumped storage on power systems with increasing wind penetration</t>
  </si>
  <si>
    <t>IEEE Power &amp; Energy Society General Meeting</t>
  </si>
  <si>
    <t>T Aidan</t>
  </si>
  <si>
    <t>http://ieeexplore.ieee.org/xpls/icp.jsp?arnumber=5275839</t>
  </si>
  <si>
    <t>Reserve Requirement Impacts of Large-Scale Integration of Wind, Solar, and Ocean Wave Power Generation</t>
  </si>
  <si>
    <t>IEEE Transactions on Sustainable Energy</t>
  </si>
  <si>
    <t>D Halamay</t>
  </si>
  <si>
    <t>http://ieeexplore.ieee.org/xpls/icp.jsp?arnumber=5713846</t>
  </si>
  <si>
    <t>Applying Markov chains for the determination of the capacity credit of wind power</t>
  </si>
  <si>
    <t>6th International Conference on the European Energy Market</t>
  </si>
  <si>
    <t>P Luickx</t>
  </si>
  <si>
    <t>http://ieeexplore.ieee.org/xpls/icp.jsp?arnumber=5207146</t>
  </si>
  <si>
    <t>Wind power planning and operating capacity credit assessment</t>
  </si>
  <si>
    <t>IEEE 11th International Conference on Probabilistic Methods Applied to Power Systems</t>
  </si>
  <si>
    <t>R Billinton</t>
  </si>
  <si>
    <t>http://ieeexplore.ieee.org/xpls/icp.jsp?arnumber=5528975</t>
  </si>
  <si>
    <t>A new method for capacity credit estimation of wind power</t>
  </si>
  <si>
    <t>National Power Systems Conference</t>
  </si>
  <si>
    <t>https://www.ee.iitb.ac.in/uma/~npsc2008/NPSC_CD/Data/Oral/FIC3/p137.pdf</t>
  </si>
  <si>
    <t>Realistic calculation of wind generation capacity credits</t>
  </si>
  <si>
    <t>CIGRE/IEEE PES Joint Symposium on Integration of Wide-Scale Renewable Resources Into the Power Delivery System</t>
  </si>
  <si>
    <t>P Aguirre</t>
  </si>
  <si>
    <t>http://ieeexplore.ieee.org/xpls/icp.jsp?arnumber=5211214</t>
  </si>
  <si>
    <t>Power output variations of co-located offshore wind turbines and wave energy converters in California</t>
  </si>
  <si>
    <t>E Stoutenburg</t>
  </si>
  <si>
    <t>http://www.sciencedirect.com/science/article/pii/S0960148110002004</t>
  </si>
  <si>
    <t>A 100% renewable electricity generation system for New Zealand utilising hydro, wind, geothermal and biomass resources</t>
  </si>
  <si>
    <t>I Mason</t>
  </si>
  <si>
    <t>http://www.sciencedirect.com/science/article/pii/S0301421510001850</t>
  </si>
  <si>
    <t>Wind Integration in Power Systems: Operational Challenges and Possible Solutions</t>
  </si>
  <si>
    <t>Proceedings of the IEEE</t>
  </si>
  <si>
    <t>http://ieeexplore.ieee.org/xpls/icp.jsp?arnumber=5607275</t>
  </si>
  <si>
    <t>Locational Capacity Credit Evaluation</t>
  </si>
  <si>
    <t>http://ieeexplore.ieee.org/xpls/icp.jsp?arnumber=4814473</t>
  </si>
  <si>
    <t>A study of the parameters influencing the Capacity Credit of WECS- a simplified approach</t>
  </si>
  <si>
    <t>S Patil</t>
  </si>
  <si>
    <t>http://ieeexplore.ieee.org/xpls/icp.jsp?arnumber=5589305</t>
  </si>
  <si>
    <t>Calculation and analysis of capacity credit of wind farms based on Monte-Carlo simulation</t>
  </si>
  <si>
    <t>S Zhang</t>
  </si>
  <si>
    <t>http://ieeexplore.ieee.org/xpls/icp.jsp?arnumber=5589289</t>
  </si>
  <si>
    <t>System Reliability Assessment Method for Wind Power Integration</t>
  </si>
  <si>
    <t>F Vallee</t>
  </si>
  <si>
    <t>http://ieeexplore.ieee.org/xpls/icp.jsp?arnumber=4547449</t>
  </si>
  <si>
    <t>Pumped storage in systems with very high wind penetration</t>
  </si>
  <si>
    <t>A Tuohy</t>
  </si>
  <si>
    <t>http://www.sciencedirect.com/science/article/pii/S030142151100036X</t>
  </si>
  <si>
    <t>Dispatch modeling of a regional power generation system – Integrating wind power</t>
  </si>
  <si>
    <t>L Göransson</t>
  </si>
  <si>
    <t>http://www.sciencedirect.com/science/article/pii/S0960148108003005</t>
  </si>
  <si>
    <t>Grid impacts of wind power variability: Recent assessments from a variety of utilities in the United States</t>
  </si>
  <si>
    <t>B Parsons</t>
  </si>
  <si>
    <t>http://www.nrel.gov/docs/fy06osti/39955.pdf</t>
  </si>
  <si>
    <t>Analysis of impacts of wind integration in the Tamil Nadu grid</t>
  </si>
  <si>
    <t>M George</t>
  </si>
  <si>
    <t>http://www.sciencedirect.com/science/article/pii/S0301421509002808</t>
  </si>
  <si>
    <t>Estimating the impacts of wind power on power systems—summary of IEA Wind collaboration</t>
  </si>
  <si>
    <t>http://iopscience.iop.org/article/10.1088/1748-9326/3/2/025001/meta;jsessionid=DC012594A0EF127EB2B5E191941E6C8A.c1</t>
  </si>
  <si>
    <t>Rigorous model for evaluating wind power capacity credit</t>
  </si>
  <si>
    <t>IET Renewable Power Generation</t>
  </si>
  <si>
    <t>N Zhang</t>
  </si>
  <si>
    <t>http://ieeexplore.ieee.org/xpls/abs_all.jsp?arnumber=6584916&amp;tag=1</t>
  </si>
  <si>
    <t>Operational Adequacy Studies of Power Systems With Wind Farms and Energy Storages</t>
  </si>
  <si>
    <t>P Wang</t>
  </si>
  <si>
    <t>http://ieeexplore.ieee.org/xpls/icp.jsp?arnumber=6220901</t>
  </si>
  <si>
    <t>Application of a Joint Deterministic-Probabilistic Criterion to Wind Integrated Bulk Power System Planning</t>
  </si>
  <si>
    <t>http://ieeexplore.ieee.org/xpls/icp.jsp?arnumber=5401064</t>
  </si>
  <si>
    <t>Taking Credit</t>
  </si>
  <si>
    <t>IEEE Power and Energy Magazine</t>
  </si>
  <si>
    <t>http://ieeexplore.ieee.org/xpls/icp.jsp?arnumber=5570791</t>
  </si>
  <si>
    <t>Adequacy Assessment Considerations in Wind Integrated Power Systems</t>
  </si>
  <si>
    <t>http://ieeexplore.ieee.org/xpls/icp.jsp?arnumber=6242416</t>
  </si>
  <si>
    <t>Factors Influencing Wind Energy Curtailment</t>
  </si>
  <si>
    <t>D Burke</t>
  </si>
  <si>
    <t>http://ieeexplore.ieee.org/xpls/icp.jsp?arnumber=5682424</t>
  </si>
  <si>
    <t xml:space="preserve">"capacity margin" AND wind OR solar OR storage </t>
  </si>
  <si>
    <t>Eastern wind integration and transmission study</t>
  </si>
  <si>
    <t>NREL Presentation</t>
  </si>
  <si>
    <t>D Corbus</t>
  </si>
  <si>
    <t>http://www.nyiso.com/public/webdocs/markets_operations/committees/bic_miwg/meeting_materials/2010-02-17/EWITSNYISO.pdf</t>
  </si>
  <si>
    <t>Dynamic Modeling of Thermal Generation Capacity Investment: Application to Markets With High Wind Penetration</t>
  </si>
  <si>
    <t>D Eager</t>
  </si>
  <si>
    <t>http://ieeexplore.ieee.org/xpls/icp.jsp?arnumber=6179363</t>
  </si>
  <si>
    <t>Regulation requirements with high wind generation penetration in the ERCOT market</t>
  </si>
  <si>
    <t>IEEE/PES Power Systems Conference and Exposition</t>
  </si>
  <si>
    <t>R Walling</t>
  </si>
  <si>
    <t>http://ieeexplore.ieee.org/xpls/icp.jsp?arnumber=4840221</t>
  </si>
  <si>
    <t>Model-based analysis of effects from large-scale wind power production</t>
  </si>
  <si>
    <t>J Rosen</t>
  </si>
  <si>
    <t>http://www.sciencedirect.com/science/article/pii/S0360544206001605</t>
  </si>
  <si>
    <t>Economic properties of wind power: A European assessment</t>
  </si>
  <si>
    <t>N Boccard</t>
  </si>
  <si>
    <t>http://www.sciencedirect.com/science/article/pii/S0301421509005515</t>
  </si>
  <si>
    <t>The value of wind power forecasting</t>
  </si>
  <si>
    <t>D Lew</t>
  </si>
  <si>
    <t>http://www.nrel.gov/docs/fy11osti/50814.pdf</t>
  </si>
  <si>
    <t>Evaluating the impact of wind power uncertainty on power system adequacy</t>
  </si>
  <si>
    <t>Proceedings of PMAPS</t>
  </si>
  <si>
    <t>E Gil</t>
  </si>
  <si>
    <t>http://energyexemplar.com/wp-content/uploads/publications/Evaluating%20the%20Impact%20of%20Wind%20Power%20Uncertainty%20on%20Power%20System%20Adequacy.pdf</t>
  </si>
  <si>
    <t>Quantifying Risk of Interruptions and Evaluating Generation System Adequacy with Wind Generation</t>
  </si>
  <si>
    <t>International Conference on Probabilistic Methods Applied to Power Systems</t>
  </si>
  <si>
    <t>A Shakoor</t>
  </si>
  <si>
    <t>http://ieeexplore.ieee.org/xpls/icp.jsp?arnumber=4202221</t>
  </si>
  <si>
    <t>Whole-Systems Assessment of the Value of Energy Storage in Low-Carbon Electricity Systems</t>
  </si>
  <si>
    <t>IEEE Transactions on Smart Grid</t>
  </si>
  <si>
    <t>D Pudjianto</t>
  </si>
  <si>
    <t>http://ieeexplore.ieee.org/xpls/icp.jsp?arnumber=6612755</t>
  </si>
  <si>
    <t>Wind capacity credit: Accounting for years of extreme risk</t>
  </si>
  <si>
    <t>IEEE PowerTech</t>
  </si>
  <si>
    <t>L Gilotte</t>
  </si>
  <si>
    <t>http://ieeexplore.ieee.org/xpls/icp.jsp?arnumber=6019426</t>
  </si>
  <si>
    <t>Capacity credit variation in distribution systems</t>
  </si>
  <si>
    <t>http://ieeexplore.ieee.org/xpls/icp.jsp?arnumber=4596797</t>
  </si>
  <si>
    <t>The impact of generation mix on the scheduling of power systems with high wind penetration</t>
  </si>
  <si>
    <t>Universities Power Engineering Conference</t>
  </si>
  <si>
    <t>M Alhajali</t>
  </si>
  <si>
    <t>http://ieeexplore.ieee.org/xpls/icp.jsp?arnumber=4651587</t>
  </si>
  <si>
    <t>Network wind OR solar OR storage</t>
  </si>
  <si>
    <t>Long-term wind speed and power forecasting using local recurrent neural network models</t>
  </si>
  <si>
    <t>TG Barbounis</t>
  </si>
  <si>
    <t>http://ieeexplore.ieee.org/xpls/abs_all.jsp?arnumber=1597347</t>
  </si>
  <si>
    <t>Energy storage systems—Characteristics and comparisons</t>
  </si>
  <si>
    <t>H Ibrahim</t>
  </si>
  <si>
    <t>http://www.sciencedirect.com/science/article/pii/S1364032107000238</t>
  </si>
  <si>
    <t>Modeling of wind power plants for short circuit analysis in the transmission network</t>
  </si>
  <si>
    <t>N Samaan</t>
  </si>
  <si>
    <t>http://ieeexplore.ieee.org/xpls/abs_all.jsp?arnumber=4517099&amp;tag=1</t>
  </si>
  <si>
    <t>Active Power Dispatch and Regulation of Wind Power System Based on Electrical Dissecting Information of Electric Power Network</t>
  </si>
  <si>
    <t>Proceedings of the CSEE</t>
  </si>
  <si>
    <t>N Chen</t>
  </si>
  <si>
    <t>http://en.cnki.com.cn/Article_en/CJFDTOTAL-ZGDC200816011.htm</t>
  </si>
  <si>
    <t>Power Flow Analysis of Distribution Network Containing Wind Power Generators</t>
  </si>
  <si>
    <t>Power System Technology</t>
  </si>
  <si>
    <t>SX Wang</t>
  </si>
  <si>
    <t>http://en.cnki.com.cn/Article_en/CJFDTOTAL-DWJS200621012.htm</t>
  </si>
  <si>
    <t>Determination of efficiency of flat-plate solar collectors using neural network approach</t>
  </si>
  <si>
    <t>Expert Systems with Applications</t>
  </si>
  <si>
    <t>A Sözen</t>
  </si>
  <si>
    <t>http://www.sciencedirect.com/science/article/pii/S0957417407003685</t>
  </si>
  <si>
    <t>A case study on a hybrid wind speed forecasting method using BP neural network</t>
  </si>
  <si>
    <t>Knowledge-Based Systems</t>
  </si>
  <si>
    <t>Z Guo</t>
  </si>
  <si>
    <t>http://www.sciencedirect.com/science/article/pii/S0950705111000852</t>
  </si>
  <si>
    <t>Voltage Stability Analysis of Wind Farm Integration into Transmission Network</t>
  </si>
  <si>
    <t>Y Chi</t>
  </si>
  <si>
    <t>http://ieeexplore.ieee.org/xpls/abs_all.jsp?arnumber=4115920</t>
  </si>
  <si>
    <t>Radial Basis Function Network-based prediction of global solar radiation data: Application for sizing of a stand-alone photovoltaic system at Al-Madinah, Saudi Arabia</t>
  </si>
  <si>
    <t xml:space="preserve">Energy  </t>
  </si>
  <si>
    <t>M Benghanem</t>
  </si>
  <si>
    <t>http://www.sciencedirect.com/science/article/pii/S036054421000294X</t>
  </si>
  <si>
    <t>Characteristics and Performance of the Operational Wind Profiler Network of the Japan Meteorological Agency</t>
  </si>
  <si>
    <t xml:space="preserve">Journal of the Meteorological Society of Japan </t>
  </si>
  <si>
    <t>M Ishihara</t>
  </si>
  <si>
    <t>https://www.jstage.jst.go.jp/article/jmsj/84/6/84_6_1085/_article</t>
  </si>
  <si>
    <t>Wind Speed and Wind Turbine Output Forecast Based on Combination Method</t>
  </si>
  <si>
    <t>Automation of Electric Power Systems</t>
  </si>
  <si>
    <t>Z Guoqiang</t>
  </si>
  <si>
    <t>http://en.cnki.com.cn/Article_en/CJFDTOTAL-DLXT200918021.htm</t>
  </si>
  <si>
    <t>Multiarea Stochastic Unit Commitment for High Wind Penetration in a Transmission Constrained Network</t>
  </si>
  <si>
    <t>Operations Research</t>
  </si>
  <si>
    <t>A Papavasiliou</t>
  </si>
  <si>
    <t>http://pubsonline.informs.org/doi/abs/10.1287/opre.2013.1174</t>
  </si>
  <si>
    <t>Comparative analysis of neural network and regression based condition monitoring approaches for wind turbine fault detection</t>
  </si>
  <si>
    <t>Mechanical Systems and Signal Processing</t>
  </si>
  <si>
    <t>M Schlechtingen</t>
  </si>
  <si>
    <t>http://www.sciencedirect.com/science/article/pii/S0888327010004310</t>
  </si>
  <si>
    <t>Wind Power Prediction by a New Forecast Engine Composed of Modified Hybrid Neural Network and Enhanced Particle Swarm Optimization</t>
  </si>
  <si>
    <t>N Amjady</t>
  </si>
  <si>
    <t>http://ieeexplore.ieee.org/xpls/abs_all.jsp?arnumber=5713273&amp;tag=1</t>
  </si>
  <si>
    <t>A Novel Distributed Direct-Voltage Control Strategy for Grid Integration of Offshore Wind Energy Systems Through MTDC Network</t>
  </si>
  <si>
    <t>Industrial Electronics</t>
  </si>
  <si>
    <t>RT Pinto</t>
  </si>
  <si>
    <t>http://ieeexplore.ieee.org/xpls/abs_all.jsp?arnumber=6290374</t>
  </si>
  <si>
    <t>Modal Analysis of a DFIG-Based Wind Farm Interfaced With a Series Compensated Network</t>
  </si>
  <si>
    <t>L Fan</t>
  </si>
  <si>
    <t>http://ieeexplore.ieee.org/stamp/stamp.jsp?tp=&amp;arnumber=5982088</t>
  </si>
  <si>
    <t>intertia - tech</t>
  </si>
  <si>
    <t>A review on the forecasting of wind speed and generated power</t>
  </si>
  <si>
    <t>M Lei</t>
  </si>
  <si>
    <t>http://www.sciencedirect.com/science/article/pii/S1364032108000282</t>
  </si>
  <si>
    <t>Short-term wind power forecasting using ridgelet neural network</t>
  </si>
  <si>
    <t>http://www.sciencedirect.com/science/article/pii/S0378779611001945</t>
  </si>
  <si>
    <t>Real-Time and Off-Line Simulation of a Detailed Wind Farm Model Connected to a Multi-Bus Network</t>
  </si>
  <si>
    <t>Electrical Power Conference</t>
  </si>
  <si>
    <t>JN Paquin</t>
  </si>
  <si>
    <t>http://ieeexplore.ieee.org/xpls/abs_all.jsp?arnumber=4520321</t>
  </si>
  <si>
    <t>Output power leveling of wind farm using pitch angle control with fuzzy neural network</t>
  </si>
  <si>
    <t>Power Engineering Society General Meeting</t>
  </si>
  <si>
    <t>T Senjyu</t>
  </si>
  <si>
    <t>http://ieeexplore.ieee.org/xpls/abs_all.jsp?arnumber=1709377</t>
  </si>
  <si>
    <t>Grid  wind OR solar OR storage</t>
  </si>
  <si>
    <t>The economics of using plug-in hybrid electric vehicle battery packs for grid storage</t>
  </si>
  <si>
    <t>SB Peterson</t>
  </si>
  <si>
    <t>http://www.sciencedirect.com/science/article/pii/S0378775309017303</t>
  </si>
  <si>
    <t>Electrical Energy Storage for the Grid: A Battery of Choices</t>
  </si>
  <si>
    <t>B Dunn</t>
  </si>
  <si>
    <t>http://www.sciencemag.org/content/334/6058/928.short</t>
  </si>
  <si>
    <t>Battery energy storage and wind energy integrated into the Smart Grid</t>
  </si>
  <si>
    <t>Innovative Smart Grid Technologies</t>
  </si>
  <si>
    <t>MC Such</t>
  </si>
  <si>
    <t>http://ieeexplore.ieee.org/xpl/articleDetails.jsp?arnumber=6175772&amp;tag=1</t>
  </si>
  <si>
    <t>Kriegers flak 640 MW off-shore wind power grid connection—A real project case study</t>
  </si>
  <si>
    <t>D Andersson</t>
  </si>
  <si>
    <t>http://ieeexplore.ieee.org/xpls/abs_all.jsp?arnumber=4105992</t>
  </si>
  <si>
    <t>A new conversion and control system for a small off-grid wind turbine</t>
  </si>
  <si>
    <t>Optimization of Electrical and Electronic Equipment (OPTIM)</t>
  </si>
  <si>
    <t>N Muntean</t>
  </si>
  <si>
    <t>http://ieeexplore.ieee.org/xpls/abs_all.jsp?arnumber=5510367</t>
  </si>
  <si>
    <t>Control of permanent-magnet generators applied to variable-speed wind-energy systems connected to the grid</t>
  </si>
  <si>
    <t>M Chinchilla</t>
  </si>
  <si>
    <t>http://ieeexplore.ieee.org/xpls/abs_all.jsp?arnumber=1597329</t>
  </si>
  <si>
    <t>Grid Converters for Photovoltaic and Wind Power Systems</t>
  </si>
  <si>
    <t>R Teodorescu</t>
  </si>
  <si>
    <t>https://books.google.co.uk/books?hl=en&amp;lr=&amp;id=5k4tmcVIaM0C&amp;oi=fnd&amp;pg=PP10&amp;dq=Grid++wind+OR+solar+OR+storage&amp;ots=vbPYeH9jws&amp;sig=J0KunCLPuEEUoCzCdfhf8Hj9BAY#v=onepage&amp;q=Grid%20%20wind%20OR%20solar%20OR%20storage&amp;f=false</t>
  </si>
  <si>
    <t>Electrochemical Energy Storage for Green Grid</t>
  </si>
  <si>
    <t>Chemical Reviews</t>
  </si>
  <si>
    <t>Z Yang</t>
  </si>
  <si>
    <t>http://pubs.acs.org/doi/full/10.1021/cr100290v</t>
  </si>
  <si>
    <t>data from different source but relevant</t>
  </si>
  <si>
    <t>Advanced grid requirements for the integration of wind turbines into the German transmission system</t>
  </si>
  <si>
    <t>I Erlich</t>
  </si>
  <si>
    <t>http://ieeexplore.ieee.org/xpls/abs_all.jsp?arnumber=1709340</t>
  </si>
  <si>
    <t>Energy Storage Systems for Transport and Grid Applications</t>
  </si>
  <si>
    <t>S Vazquez</t>
  </si>
  <si>
    <t>http://ieeexplore.ieee.org/xpls/abs_all.jsp?arnumber=5582228</t>
  </si>
  <si>
    <t>Grid stability battery systems for renewable energy success</t>
  </si>
  <si>
    <t>Energy Conversion Congress and Exposition</t>
  </si>
  <si>
    <t>C Vartanian</t>
  </si>
  <si>
    <t>http://ieeexplore.ieee.org/xpls/abs_all.jsp?arnumber=5618059</t>
  </si>
  <si>
    <t>A Reliability Perspective of the Smart Grid</t>
  </si>
  <si>
    <t>K Moslehi</t>
  </si>
  <si>
    <t>http://ieeexplore.ieee.org/xpls/abs_all.jsp?arnumber=5467283</t>
  </si>
  <si>
    <t>Agent-based micro-storage management for the Smart Grid</t>
  </si>
  <si>
    <t>AAMAS '10</t>
  </si>
  <si>
    <t>P Vytelingum</t>
  </si>
  <si>
    <t>http://dl.acm.org/citation.cfm?id=1838212</t>
  </si>
  <si>
    <t>A 24-h forecast of solar irradiance using artificial neural network: Application for performance prediction of a grid-connected PV plant at Trieste, Italy</t>
  </si>
  <si>
    <t>A Mellit</t>
  </si>
  <si>
    <t>http://www.sciencedirect.com/science/article/pii/S0038092X10000782</t>
  </si>
  <si>
    <t>Intelligent Scheduling of Hybrid and Electric Vehicle Storage Capacity in a Parking Lot for Profit Maximization in Grid Power Transactions</t>
  </si>
  <si>
    <t>Energy 2030 Conference</t>
  </si>
  <si>
    <t>C Hutson</t>
  </si>
  <si>
    <t>http://ieeexplore.ieee.org/xpls/abs_all.jsp?arnumber=4781051&amp;tag=1</t>
  </si>
  <si>
    <t>Overview of recent grid codes for wind power integration</t>
  </si>
  <si>
    <t>M Altın</t>
  </si>
  <si>
    <t>http://ieeexplore.ieee.org/xpls/abs_all.jsp?arnumber=5510521&amp;tag=1</t>
  </si>
  <si>
    <t>intertia</t>
  </si>
  <si>
    <t>Challenges in integrating distributed Energy storage systems into future smart grid</t>
  </si>
  <si>
    <t>A Mohd</t>
  </si>
  <si>
    <t>http://ieeexplore.ieee.org/xpls/abs_all.jsp?arnumber=4676896</t>
  </si>
  <si>
    <t>Stability augmentation of a grid-connected wind farm</t>
  </si>
  <si>
    <t>SM Muyeen</t>
  </si>
  <si>
    <t>https://books.google.co.uk/books?hl=en&amp;lr=&amp;id=RYRfCJNm6LcC&amp;oi=fnd&amp;pg=PA1&amp;dq=Grid++wind+OR+solar+OR+storage&amp;ots=t2xJST6S9Q&amp;sig=ZobJF56tPW4JAI-GvJnEreWvlOE#v=onepage&amp;q=Grid%20%20wind%20OR%20solar%20OR%20storage&amp;f=false</t>
  </si>
  <si>
    <t>Integrating Large Wind Farms into Weak Power Grids with Long Transmission Lines</t>
  </si>
  <si>
    <t>Power Electronics and Motion Control Conference</t>
  </si>
  <si>
    <t>R Piwko</t>
  </si>
  <si>
    <t>http://ieeexplore.ieee.org/xpls/abs_all.jsp?arnumber=4778165</t>
  </si>
  <si>
    <t>The economics of wind energy</t>
  </si>
  <si>
    <t>EWEA Report</t>
  </si>
  <si>
    <t>Sarah Clifford</t>
  </si>
  <si>
    <t>https://books.google.co.uk/books?hl=en&amp;lr=&amp;id=3Uv5PEJYwvMC&amp;oi=fnd&amp;pg=PA8&amp;dq=Grid++wind+OR+solar+OR+storage&amp;ots=kQktdkZeGd&amp;sig=dqD-MFyhNK_L1CNlEXbyuvd3lQ0#v=onepage&amp;q=Grid%20%20wind%20OR%20solar%20OR%20storage&amp;f=false</t>
  </si>
  <si>
    <t>Optimal Charging Strategies for Unidirectional Vehicle-to-Grid</t>
  </si>
  <si>
    <t>E Sortomme</t>
  </si>
  <si>
    <t>http://ieeexplore.ieee.org/xpls/abs_all.jsp?arnumber=5661888&amp;tag=1</t>
  </si>
  <si>
    <t>The effect of diurnal profile and seasonal wind regime on sizing grid-connected and off-grid wind power plants</t>
  </si>
  <si>
    <t>R Carapellucci</t>
  </si>
  <si>
    <t>http://www.sciencedirect.com/science/article/pii/S0306261913001529</t>
  </si>
  <si>
    <t>Grid of the future</t>
  </si>
  <si>
    <t>Power and Energy Magazine</t>
  </si>
  <si>
    <t>A Ipakchi</t>
  </si>
  <si>
    <t>http://ieeexplore.ieee.org/xpls/abs_all.jsp?arnumber=4787536&amp;tag=1</t>
  </si>
  <si>
    <t>Smart grid-a reliability perspective</t>
  </si>
  <si>
    <t>Smart Grid Technologies</t>
  </si>
  <si>
    <t>http://ieeexplore.ieee.org/xpls/abs_all.jsp?arnumber=5434765</t>
  </si>
  <si>
    <t>Frequency deviation of thermal power plants due to wind farms</t>
  </si>
  <si>
    <t>C Luo</t>
  </si>
  <si>
    <t>http://ieeexplore.ieee.org/xpls/abs_all.jsp?arnumber=1677661</t>
  </si>
  <si>
    <t>The value of compressed air energy storage with wind in transmission-constrained electric power systems</t>
  </si>
  <si>
    <t>http://www.sciencedirect.com/science/article/pii/S0301421509002328</t>
  </si>
  <si>
    <t>The economics of using PHEV battery packs for grid storage</t>
  </si>
  <si>
    <t>Carnegie Mellon Electricity Industry Center Working paper</t>
  </si>
  <si>
    <t>S Peterson</t>
  </si>
  <si>
    <t>https://wpweb2.tepper.cmu.edu/ceic/PDFS/CEIC_09_03_teo.pdf</t>
  </si>
  <si>
    <t>Transmission  wind OR solar OR storage</t>
  </si>
  <si>
    <t>Providing all global energy with wind, water, and solar power, Part II: Reliability, system and transmission costs, and policies</t>
  </si>
  <si>
    <t>MA Delucchi</t>
  </si>
  <si>
    <t>http://www.sciencedirect.com/science/article/pii/S0301421510008694</t>
  </si>
  <si>
    <t>Utility Wind Integration and Operating Impact State of the Art</t>
  </si>
  <si>
    <t>JC Smith</t>
  </si>
  <si>
    <t>http://ieeexplore.ieee.org/stamp/stamp.jsp?tp=&amp;arnumber=4282054</t>
  </si>
  <si>
    <t>Wind power integration in power systems with transmission bottlenecks</t>
  </si>
  <si>
    <t>J Matevosyan</t>
  </si>
  <si>
    <t>http://ieeexplore.ieee.org/xpls/abs_all.jsp?arnumber=4275728</t>
  </si>
  <si>
    <t>Maximizing Firm Wind Connection to Security Constrained Transmission Networks</t>
  </si>
  <si>
    <t>DJ Burke</t>
  </si>
  <si>
    <t>http://ieeexplore.ieee.org/xpls/abs_all.jsp?arnumber=5342465</t>
  </si>
  <si>
    <t>Transmission connected wind curtailment with increasing wind capacity connection</t>
  </si>
  <si>
    <t>http://ieeexplore.ieee.org/xpls/abs_all.jsp?arnumber=5275377&amp;tag=1</t>
  </si>
  <si>
    <t>Renewable energy conversion, transmission, and storage</t>
  </si>
  <si>
    <t>B Sorensen</t>
  </si>
  <si>
    <t>https://books.google.co.uk/books?hl=en&amp;lr=&amp;id=lE1e4chSiSsC&amp;oi=fnd&amp;pg=PP1&amp;dq=Transmission++wind+OR+solar+OR+storage&amp;ots=uKmknp2h-e&amp;sig=NWd24aCmQSgdfRQsPn_uXTHoh5Q#v=onepage&amp;q=Transmission%20%20wind%20OR%20solar%20OR%20storage&amp;f=false</t>
  </si>
  <si>
    <t>Analyses of Clean Energy Development and Transmission in Northwest China</t>
  </si>
  <si>
    <t>Power System and Clean Energy</t>
  </si>
  <si>
    <t>C Feng</t>
  </si>
  <si>
    <t>http://en.cnki.com.cn/Article_en/CJFDTOTAL-SXFD200901006.htm</t>
  </si>
  <si>
    <t>“Take the long way down”: Integration of large-scale North Sea wind using HVDC transmission</t>
  </si>
  <si>
    <t>http://www.sciencedirect.com/science/article/pii/S0301421509005503</t>
  </si>
  <si>
    <t>Coordinating Large-Scale Wind Integration and Transmission Planning</t>
  </si>
  <si>
    <t>Y Gu</t>
  </si>
  <si>
    <t>http://ieeexplore.ieee.org/xpls/abs_all.jsp?arnumber=6259823&amp;tag=1</t>
  </si>
  <si>
    <t>The cost of transmission for wind energy: A review of transmission planning studies</t>
  </si>
  <si>
    <t>Lawrence Berkeley National Laboratory (Report)</t>
  </si>
  <si>
    <t>AD Mills</t>
  </si>
  <si>
    <t>http://escholarship.org/uc/item/2z12z7wm</t>
  </si>
  <si>
    <t>Transmission Expansion Planning of Systems With Increasing Wind Power Integration</t>
  </si>
  <si>
    <t>GA Orfanos</t>
  </si>
  <si>
    <t>http://ieeexplore.ieee.org/xpls/abs_all.jsp?arnumber=6313960&amp;tag=1</t>
  </si>
  <si>
    <t>Transmission and Wind Power Investment</t>
  </si>
  <si>
    <t>L Baringo</t>
  </si>
  <si>
    <t>http://ieeexplore.ieee.org/xpls/abs_all.jsp?arnumber=6123185</t>
  </si>
  <si>
    <t>Incorporating Large-Scale Distant Wind Farms in Probabilistic Transmission Expansion Planning—Part I: Theory and Algorithm</t>
  </si>
  <si>
    <t>M Moeini-Aghtaie</t>
  </si>
  <si>
    <t>http://ieeexplore.ieee.org/xpls/abs_all.jsp?arnumber=6151207</t>
  </si>
  <si>
    <t>Calculation of economic transmission connection capacity for wind power generation</t>
  </si>
  <si>
    <t>GW Ault</t>
  </si>
  <si>
    <t>http://digital-library.theiet.org/content/journals/10.1049/iet-rpg_20060020</t>
  </si>
  <si>
    <t>Large-scale photovoltaic solar power integration in transmission and distribution networks</t>
  </si>
  <si>
    <t>RK Varma</t>
  </si>
  <si>
    <t>http://ieeexplore.ieee.org/xpls/abs_all.jsp?arnumber=6039860&amp;tag=1</t>
  </si>
  <si>
    <t>Wind power integration: connection and system operational aspects</t>
  </si>
  <si>
    <t>B Fox</t>
  </si>
  <si>
    <t>https://books.google.co.uk/books?hl=en&amp;lr=&amp;id=LTuo24RfTGoC&amp;oi=fnd&amp;pg=PR9&amp;dq=Transmission++wind+OR+solar+OR+storage&amp;ots=H8EsDVz1hH&amp;sig=7CfljZS4FCjlNk6EKVG4ouqtkVs#v=onepage&amp;q=Transmission%20%20wind%20OR%20solar%20OR%20storage&amp;f=false</t>
  </si>
  <si>
    <t>Optimal portfolio-theory-based allocation of wind power: Taking into account cross-border transmission-capacity constraints</t>
  </si>
  <si>
    <t>Y Rombauts</t>
  </si>
  <si>
    <t>http://www.sciencedirect.com/science/article/pii/S0960148111000863</t>
  </si>
  <si>
    <t>Managing Wind-Based Electricity Generation in the Presence of Storage and Transmission Capacity</t>
  </si>
  <si>
    <t>SSRN</t>
  </si>
  <si>
    <t>Y Zhou</t>
  </si>
  <si>
    <t>http://papers.ssrn.com/sol3/papers.cfm?abstract_id=1962414</t>
  </si>
  <si>
    <t>"System reserve"   AND (wind OR solar OR storage)</t>
  </si>
  <si>
    <t>A Stochastic Model for the Optimal Operation of a Wind-Thermal Power System</t>
  </si>
  <si>
    <t>VS Pappala</t>
  </si>
  <si>
    <t>http://ieeexplore.ieee.org/xpls/abs_all.jsp?arnumber=4813198&amp;tag=1</t>
  </si>
  <si>
    <t>Using Standard Deviation as a Measure of Increased Operational Reserve Requirement for Wind Power</t>
  </si>
  <si>
    <t>Wind Engineering</t>
  </si>
  <si>
    <t>http://multi-science.atypon.com/doi/abs/10.1260/0309-524X.32.4.355</t>
  </si>
  <si>
    <t>Wind power integration and power system flexibility–An empirical analysis of extreme events in Germany under the new negative price regime</t>
  </si>
  <si>
    <t>M Nicolosi</t>
  </si>
  <si>
    <t>http://www.sciencedirect.com/science/article/pii/S0301421510005860</t>
  </si>
  <si>
    <t>Reserve determination for system with large wind generation</t>
  </si>
  <si>
    <t>T Yong</t>
  </si>
  <si>
    <t>http://ieeexplore.ieee.org/xpls/abs_all.jsp?arnumber=5275562&amp;tag=1</t>
  </si>
  <si>
    <t>Sizing of Energy Storage for Microgrids</t>
  </si>
  <si>
    <t>SX Chen</t>
  </si>
  <si>
    <t>http://ieeexplore.ieee.org/xpls/abs_all.jsp?arnumber=5979167</t>
  </si>
  <si>
    <t>Statistical Wind Speed Interpolation for Simulating Aggregated Wind Energy Production under System Studies</t>
  </si>
  <si>
    <t>M Gibescu</t>
  </si>
  <si>
    <t>http://ieeexplore.ieee.org/xpls/abs_all.jsp?arnumber=4202376</t>
  </si>
  <si>
    <t>Operational impacts of wind generation on California power systems</t>
  </si>
  <si>
    <t>YV Makarov</t>
  </si>
  <si>
    <t>http://ieeexplore.ieee.org/xpls/abs_all.jsp?arnumber=4808228</t>
  </si>
  <si>
    <t>Pricing of reserves: Valuing system reserve capacity against spot prices in electricity markets</t>
  </si>
  <si>
    <t>S Just</t>
  </si>
  <si>
    <t>http://www.sciencedirect.com/science/article/pii/S0140988308000789</t>
  </si>
  <si>
    <t>Evaluating operational risk in a power system with a large amount of wind power</t>
  </si>
  <si>
    <t>EM Gouveia</t>
  </si>
  <si>
    <t>http://www.sciencedirect.com/science/article/pii/S0378779608002824</t>
  </si>
  <si>
    <t>Wind power forecasting uncertainty and unit commitment</t>
  </si>
  <si>
    <t>http://www.sciencedirect.com/science/article/pii/S0306261911002339</t>
  </si>
  <si>
    <t>System integration of large-scale wind power in the Netherlands</t>
  </si>
  <si>
    <t>BC Ummels</t>
  </si>
  <si>
    <t>http://ieeexplore.ieee.org/xpls/abs_all.jsp?arnumber=1709154&amp;tag=1</t>
  </si>
  <si>
    <t>Impact of Wind Power Forecasting on Unit Commitment and Dispatch</t>
  </si>
  <si>
    <t>Integration of Wind</t>
  </si>
  <si>
    <t>http://ceeesa.es.anl.gov/pubs/65610.pdf</t>
  </si>
  <si>
    <t>Strong smart grid boosts Jiuquan wind power base development</t>
  </si>
  <si>
    <t>Power System Protection and Control</t>
  </si>
  <si>
    <t>J Liu</t>
  </si>
  <si>
    <t>http://en.cnki.com.cn/Article_en/CJFDTotal-JDQW201021006.htm</t>
  </si>
  <si>
    <t>On the synergy between large electric vehicle fleet and high wind penetration e An analysis of the Danish case</t>
  </si>
  <si>
    <t>CK Eckman</t>
  </si>
  <si>
    <t>http://www.sciencedirect.com/science/article/pii/S096014811000354X</t>
  </si>
  <si>
    <t>Generation expansion planning in wind-thermal power systems</t>
  </si>
  <si>
    <t>S Kamalinia</t>
  </si>
  <si>
    <t>http://ieeexplore.ieee.org/xpls/abs_all.jsp?arnumber=5540332&amp;tag=1</t>
  </si>
  <si>
    <t>Study on power system reliability and reserve optimization with wind power integration</t>
  </si>
  <si>
    <t>Power System Protection</t>
  </si>
  <si>
    <t>M Yu</t>
  </si>
  <si>
    <t>http://en.cnki.com.cn/Article_en/CJFDTOTAL-JDQW201212019.htm</t>
  </si>
  <si>
    <t>How much wind energy will be curtailed on the 2020 Irish power system?</t>
  </si>
  <si>
    <t>EV Mc Garrigle</t>
  </si>
  <si>
    <t>http://www.sciencedirect.com/science/article/pii/S0960148113000384</t>
  </si>
  <si>
    <t>Wind power forecasting for reduction of system reserve</t>
  </si>
  <si>
    <t>Universities Power Engineering Conference (UPEC)</t>
  </si>
  <si>
    <t>http://ieeexplore.ieee.org/stamp/stamp.jsp?tp=&amp;arnumber=5649306</t>
  </si>
  <si>
    <t>Wind energy development policy and prospects in Lithuania</t>
  </si>
  <si>
    <t>A Markevičius</t>
  </si>
  <si>
    <t>http://www.sciencedirect.com/science/article/pii/S0301421507001504</t>
  </si>
  <si>
    <t>Operating the Irish power system with increased levels of wind power</t>
  </si>
  <si>
    <t>http://ieeexplore.ieee.org/xpls/abs_all.jsp?arnumber=4596389</t>
  </si>
  <si>
    <t>Reliability Considerations in the Utilization of Wind Energy, Solar Energy and Energy Storage in Electric Power Systems</t>
  </si>
  <si>
    <t>http://ieeexplore.ieee.org/xpls/abs_all.jsp?arnumber=4202216</t>
  </si>
  <si>
    <t>The hidden costs of wind generation in a thermal power system: what cost?</t>
  </si>
  <si>
    <t>Australian Economic Review</t>
  </si>
  <si>
    <t>P Simshauser</t>
  </si>
  <si>
    <t>http://onlinelibrary.wiley.com/doi/10.1111/j.1467-8462.2011.00646.x/abstract?userIsAuthenticated=false&amp;deniedAccessCustomisedMessage=</t>
  </si>
  <si>
    <t>Power system operation with large scale wind power integration</t>
  </si>
  <si>
    <t>Power Tech</t>
  </si>
  <si>
    <t>A Suwannarat</t>
  </si>
  <si>
    <t>http://ieeexplore.ieee.org/xpls/abs_all.jsp?arnumber=4538396</t>
  </si>
  <si>
    <t>A quantitative analysis of the net benefits of grid integrated wind</t>
  </si>
  <si>
    <t>E Denny</t>
  </si>
  <si>
    <t>http://ieeexplore.ieee.org/xpls/abs_all.jsp?arnumber=1709459</t>
  </si>
  <si>
    <t>Energy storage in the UK electrical network: Estimation of the scale and review of technology options</t>
  </si>
  <si>
    <t>IAG Wilson</t>
  </si>
  <si>
    <t>http://www.sciencedirect.com/science/article/pii/S0301421510001990</t>
  </si>
  <si>
    <t>An overview on peak regulation of wind power integrated power systems</t>
  </si>
  <si>
    <t>Electric Utility Deregulation and Restructuring and Power Technologies</t>
  </si>
  <si>
    <t>B Yuan</t>
  </si>
  <si>
    <t>http://ieeexplore.ieee.org/xpls/abs_all.jsp?arnumber=5993878</t>
  </si>
  <si>
    <t>Valuation framework for large scale electricity storage in a case with wind curtailment</t>
  </si>
  <si>
    <t>R Loisel</t>
  </si>
  <si>
    <t>http://www.sciencedirect.com/science/article/pii/S030142151000594X</t>
  </si>
  <si>
    <t>"System balancing" wind OR solar OR storage</t>
  </si>
  <si>
    <t>Impacts of Wind Power on Thermal Generation Unit Commitment and Dispatch</t>
  </si>
  <si>
    <t>http://ieeexplore.ieee.org/xpls/abs_all.jsp?arnumber=4106021&amp;tag=1</t>
  </si>
  <si>
    <t>The Effect of Large-Scale Wind Power on System Balancing in Northern Europe</t>
  </si>
  <si>
    <t>T Aigner</t>
  </si>
  <si>
    <t>http://ieeexplore.ieee.org/xpls/abs_all.jsp?arnumber=6261570</t>
  </si>
  <si>
    <t>Well-functioning balancing markets: A prerequisite for wind power integration</t>
  </si>
  <si>
    <t>L Vandezande</t>
  </si>
  <si>
    <t>http://www.sciencedirect.com/science/article/pii/S0301421509005497</t>
  </si>
  <si>
    <t>Impact of large scale wind integration on power system balancing</t>
  </si>
  <si>
    <t>PowerTech</t>
  </si>
  <si>
    <t>S Jaehnert</t>
  </si>
  <si>
    <t>http://ieeexplore.ieee.org/xpls/abs_all.jsp?arnumber=6019276&amp;tag=1</t>
  </si>
  <si>
    <t>Market integration of wind power in electricity system balancing</t>
  </si>
  <si>
    <t>Energy Strategy Reviews</t>
  </si>
  <si>
    <t>P Sorknæs</t>
  </si>
  <si>
    <t>http://www.sciencedirect.com/science/article/pii/S2211467X13000072</t>
  </si>
  <si>
    <t>Towards a Danish power system with 50% wind — Smart grids activities in denmark</t>
  </si>
  <si>
    <t>Z Xu</t>
  </si>
  <si>
    <t>http://ieeexplore.ieee.org/xpls/abs_all.jsp?arnumber=5275558</t>
  </si>
  <si>
    <t>European Balancing Act</t>
  </si>
  <si>
    <t>T Ackermann</t>
  </si>
  <si>
    <t>http://ieeexplore.ieee.org/xpls/abs_all.jsp?arnumber=4383127&amp;tag=1</t>
  </si>
  <si>
    <t>Considerations on the backup of wind power: Operational backup</t>
  </si>
  <si>
    <t>PJ Luickx</t>
  </si>
  <si>
    <t>http://www.sciencedirect.com/science/article/pii/S0306261908000044</t>
  </si>
  <si>
    <t>Wind power impacts and electricity storage–a time scale perspective</t>
  </si>
  <si>
    <t>Renewable Energy,</t>
  </si>
  <si>
    <t>K Hedegaard</t>
  </si>
  <si>
    <t>http://www.sciencedirect.com/science/article/pii/S0960148111003594</t>
  </si>
  <si>
    <t>The North American power delivery system: Balancing market restructuring and environmental economics with infrastructure security</t>
  </si>
  <si>
    <t>SM Amin</t>
  </si>
  <si>
    <t>http://www.sciencedirect.com/science/article/pii/S0360544205001015</t>
  </si>
  <si>
    <t>Impact of wind power on the power system imbalances in Finland</t>
  </si>
  <si>
    <t>Renewable Power Generation</t>
  </si>
  <si>
    <t>A Helander</t>
  </si>
  <si>
    <t>http://ieeexplore.ieee.org/xpls/abs_all.jsp?arnumber=5383264&amp;tag=1</t>
  </si>
  <si>
    <t>A mighty wind</t>
  </si>
  <si>
    <t>http://ieeexplore.ieee.org/xpls/abs_all.jsp?arnumber=4787535</t>
  </si>
  <si>
    <t>Operating reserves and wind power integration: an international comparison</t>
  </si>
  <si>
    <t>NREL conference paper</t>
  </si>
  <si>
    <t>http://www.nrel.gov/docs/fy11osti/49019.pdf</t>
  </si>
  <si>
    <t>Benefits of fast-response storage devices for system regulation in ISO markets</t>
  </si>
  <si>
    <t>K Vu</t>
  </si>
  <si>
    <t>http://ieeexplore.ieee.org/xpls/abs_all.jsp?arnumber=5275922</t>
  </si>
  <si>
    <t>Wind Energy Curtailment Case Studies</t>
  </si>
  <si>
    <t>NREL subcontracted report</t>
  </si>
  <si>
    <t>S Fink</t>
  </si>
  <si>
    <t>http://www.novoco.com/energy/resource_files/reports/nrel_windcurtailmentreport_1009.pdf</t>
  </si>
  <si>
    <t>Imbalance Costs of Wind Power for a Hydro Power Producer in Finland</t>
  </si>
  <si>
    <t>http://multi-science.atypon.com/doi/abs/10.1260/0309-524X.36.1.53</t>
  </si>
  <si>
    <t>Development of balancing in the internal electricity market in Europe</t>
  </si>
  <si>
    <t>European Wind</t>
  </si>
  <si>
    <t>K Verhaegen</t>
  </si>
  <si>
    <t>http://www.leonardo-energy.info/sites/leonardo-energy/files/root/Documents/2009/pub_1527.pdf</t>
  </si>
  <si>
    <t>Facilitating Wind Development: The Importance of Electric Industry Structure</t>
  </si>
  <si>
    <t>B Kirby</t>
  </si>
  <si>
    <t>http://www.sciencedirect.com/science/article/pii/S1040619008000535</t>
  </si>
  <si>
    <t>Intermittent renewable generation and the cost of maintaining power system reliability</t>
  </si>
  <si>
    <t>J Skea</t>
  </si>
  <si>
    <t>http://digital-library.theiet.org/content/journals/10.1049/iet-gtd_20070023</t>
  </si>
  <si>
    <t>Integration of wind and solar power in Europe: Assessment of flexibility requirements</t>
  </si>
  <si>
    <t>M Huber</t>
  </si>
  <si>
    <t>http://www.sciencedirect.com/science/article/pii/S0360544214002680</t>
  </si>
  <si>
    <t>German Electricity Reserve Markets</t>
  </si>
  <si>
    <t>Electricity Markets Working Paper</t>
  </si>
  <si>
    <t>S Riedel</t>
  </si>
  <si>
    <t>http://papers.ssrn.com/soL3/papers.cfm?abstract_id=1137282</t>
  </si>
  <si>
    <t>Estimating the impact of wind generation on balancing costs in the GB electricity markets</t>
  </si>
  <si>
    <t xml:space="preserve">European Energy Market </t>
  </si>
  <si>
    <t>GP Swinand</t>
  </si>
  <si>
    <t>http://ieeexplore.ieee.org/xpls/abs_all.jsp?arnumber=6254790</t>
  </si>
  <si>
    <t>Assessment of imbalance settlement exemptions for offshore wind power generation in Belgium</t>
  </si>
  <si>
    <t>K De Vos</t>
  </si>
  <si>
    <t>http://www.sciencedirect.com/science/article/pii/S0301421510009225</t>
  </si>
  <si>
    <t>National assessment of energy storage for grid balancing and arbitrage: Phase 1, WECC</t>
  </si>
  <si>
    <t>US Department of Energy</t>
  </si>
  <si>
    <t>M Kintner-Meyer</t>
  </si>
  <si>
    <t>http://citeseerx.ist.psu.edu/viewdoc/download?doi=10.1.1.466.5496&amp;rep=rep1&amp;type=pdf</t>
  </si>
  <si>
    <t>Probabilistic Assessment of the Impact of Wind Energy Integration Into Distribution Networks</t>
  </si>
  <si>
    <t>P Siano</t>
  </si>
  <si>
    <t>http://ieeexplore.ieee.org/xpls/abs_all.jsp?arnumber=6555977</t>
  </si>
  <si>
    <t>Implementation of wind power in the Dutch power system</t>
  </si>
  <si>
    <t>Power and Energy Society General Meeting - Conversion and Delivery of Electrical Energy in the 21st Century</t>
  </si>
  <si>
    <t>WL Kling</t>
  </si>
  <si>
    <t>http://ieeexplore.ieee.org/xpls/abs_all.jsp?arnumber=4596200</t>
  </si>
  <si>
    <t>Renewables and the grid: understanding intermittency</t>
  </si>
  <si>
    <t>Proceedings of the Institution of Civil Engineers - Energy</t>
  </si>
  <si>
    <t>http://www.icevirtuallibrary.com/doi/full/10.1680/ener.2007.160.1.31</t>
  </si>
  <si>
    <t>Beyond capacity markets — Delivering capability resources to Europe's decarbonised power system</t>
  </si>
  <si>
    <t>European Energy Market</t>
  </si>
  <si>
    <t>M Gottstein</t>
  </si>
  <si>
    <t>http://ieeexplore.ieee.org/stamp/stamp.jsp?tp=&amp;arnumber=6254783</t>
  </si>
  <si>
    <t>"Load factor" AND wind OR solar OR storage</t>
  </si>
  <si>
    <t>Value of electric heat boilers and heat pumps for wind power integration</t>
  </si>
  <si>
    <t>P Meibom</t>
  </si>
  <si>
    <t>http://onlinelibrary.wiley.com/doi/10.1002/we.224/abstract</t>
  </si>
  <si>
    <t>Integration of plug-in hybrid electric vehicles in a regional wind-thermal power system</t>
  </si>
  <si>
    <t>http://www.sciencedirect.com/science/article/pii/S0301421510002740</t>
  </si>
  <si>
    <t>Evolution of operating reserve determination in wind power integration studies</t>
  </si>
  <si>
    <t>E Ela</t>
  </si>
  <si>
    <t>http://ieeexplore.ieee.org/xpls/icp.jsp?arnumber=5589272</t>
  </si>
  <si>
    <t>Backup AND thermal AND (wind OR solar)</t>
  </si>
  <si>
    <t>Why wind power does not deliver the expected emissions reductions</t>
  </si>
  <si>
    <t>H Inhaber</t>
  </si>
  <si>
    <t>http://www.sciencedirect.com/science/article/pii/S1364032111000864</t>
  </si>
  <si>
    <t>Greenhouse Gas Emissions from Operating Reserves Used to Backup Large-Scale Wind Power</t>
  </si>
  <si>
    <t>http://pubs.acs.org/doi/pdf/10.1021/es200417b</t>
  </si>
  <si>
    <t>Estimating the Capacity Value of Concentrating Solar Power Plants With Thermal Energy Storage: A Case Study of the Southwestern United States</t>
  </si>
  <si>
    <t>S Madaeni</t>
  </si>
  <si>
    <t>http://ieeexplore.ieee.org/xpls/icp.jsp?arnumber=6266722</t>
  </si>
  <si>
    <t xml:space="preserve">"wholesale market" AND wind OR solar OR storage </t>
  </si>
  <si>
    <t>The market value and cost of solar photovoltaic electricity production</t>
  </si>
  <si>
    <t>CSEM Working Paper</t>
  </si>
  <si>
    <t>S Borenstein</t>
  </si>
  <si>
    <t>http://escholarship.org/uc/item/3ws6r3j4</t>
  </si>
  <si>
    <t>Gone with the wind? — Electricity market prices and incentives to invest in thermal power plants under increasing wind energy supply</t>
  </si>
  <si>
    <t>T Traber</t>
  </si>
  <si>
    <t>http://www.sciencedirect.com/science/article/pii/S0140988310001118</t>
  </si>
  <si>
    <t>Analysing the impact of renewable electricity support schemes on power prices: The case of wind electricity in Spain</t>
  </si>
  <si>
    <t>G Sáenz de Miera</t>
  </si>
  <si>
    <t>http://www.sciencedirect.com/science/article/pii/S0301421508001882</t>
  </si>
  <si>
    <t>The Hidden System Costs of Wind Generation in a Deregulated Electricity Market</t>
  </si>
  <si>
    <t>43rd Hawaii International Conference on System Sciences</t>
  </si>
  <si>
    <t>T Mount</t>
  </si>
  <si>
    <t>http://ieeexplore.ieee.org/xpls/abs_all.jsp?arnumber=5428348</t>
  </si>
  <si>
    <t>How to deal with negative power price spikes?—Flexible voluntary curtailment agreements for large-scale integration of wind</t>
  </si>
  <si>
    <t>C Brandstätt</t>
  </si>
  <si>
    <t>http://www.sciencedirect.com/science/article/pii/S0301421511002795</t>
  </si>
  <si>
    <t>Effects of Temporal Wind Patterns on the Value of Wind-Generated Electricity in California and the Northwest</t>
  </si>
  <si>
    <t>http://ieeexplore.ieee.org/xpls/icp.jsp?arnumber=4484960</t>
  </si>
  <si>
    <t>Assessing the impact of wind generation on wholesale prices and generator dispatch in the Australian National Electricity Market</t>
  </si>
  <si>
    <t>S Forrest</t>
  </si>
  <si>
    <t>http://www.sciencedirect.com/science/article/pii/S0301421513001110</t>
  </si>
  <si>
    <t>The impact of wind power generation on the electricity price in Germany</t>
  </si>
  <si>
    <t>J Ketterer</t>
  </si>
  <si>
    <t>http://www.sciencedirect.com/science/article/pii/S0140988314000875</t>
  </si>
  <si>
    <t>Increased penetration of wind generated electricity using real time pricing &amp; demand side management</t>
  </si>
  <si>
    <t xml:space="preserve"> IEEE International Symposium on Sustainable Systems and Technology</t>
  </si>
  <si>
    <t>P Finn</t>
  </si>
  <si>
    <t>http://ieeexplore.ieee.org/xpls/abs_all.jsp?arnumber=5156783&amp;tag=1</t>
  </si>
  <si>
    <t>Measuring the Environmental Benefits of Wind-Generated Electricity</t>
  </si>
  <si>
    <t>American Economic Journal: Economic Policy</t>
  </si>
  <si>
    <t>J Cullen</t>
  </si>
  <si>
    <t>https://www.aeaweb.org/articles.php?doi=10.1257/pol.5.4.107</t>
  </si>
  <si>
    <t>Impacts of compressed air energy storage plant on an electricity market with a large renewable energy portfolio</t>
  </si>
  <si>
    <t>A Foley</t>
  </si>
  <si>
    <t>http://www.sciencedirect.com/science/article/pii/S0360544213003423</t>
  </si>
  <si>
    <t>Parameters influencing the market value of wind power – a model-based analysis of the Central European power market</t>
  </si>
  <si>
    <t>European Transactions on Electrical Power</t>
  </si>
  <si>
    <t>C Obersteiner</t>
  </si>
  <si>
    <t>http://onlinelibrary.wiley.com/doi/10.1002/etep.430/full</t>
  </si>
  <si>
    <t>Storing Wind for a Rainy Day: What Kind of Electricity Does Denmark Export?</t>
  </si>
  <si>
    <t>Centre for Competition Policy (CCP) Working Paper</t>
  </si>
  <si>
    <t>http://papers.ssrn.com/sol3/papers.cfm?abstract_id=1894750</t>
  </si>
  <si>
    <t>The Economic Value of Wind Energy</t>
  </si>
  <si>
    <t>A Pavlak</t>
  </si>
  <si>
    <t>http://www.sciencedirect.com/science/article/pii/S1040619008001930</t>
  </si>
  <si>
    <t>Successful renewable energy development in a competitive electricity market: A Texas case study</t>
  </si>
  <si>
    <t>J Zarnikau</t>
  </si>
  <si>
    <t>http://www.sciencedirect.com/science/article/pii/S0301421510008670</t>
  </si>
  <si>
    <t>Integrating wind: Developing Europe's power market for the large-scale integration of wind power</t>
  </si>
  <si>
    <t>F Van Hulle</t>
  </si>
  <si>
    <t>http://orbit.dtu.dk/fedora/objects/orbit:81254/datastreams/file_3628703/content</t>
  </si>
  <si>
    <t>Inertia wind OR solar OR storage</t>
  </si>
  <si>
    <t>Dynamic Frequency Control Support by Energy Storage to Reduce the Impact of Wind and Solar Generation on Isolated Power System's Inertia</t>
  </si>
  <si>
    <t>U Delille</t>
  </si>
  <si>
    <t>http://ieeexplore.ieee.org/xpls/abs_all.jsp?arnumber=6268312</t>
  </si>
  <si>
    <t>Strategies to smooth wind power fluctuations of wind turbine generator</t>
  </si>
  <si>
    <t>http://ieeexplore.ieee.org/xpls/abs_all.jsp?arnumber=4207451</t>
  </si>
  <si>
    <t>Grid Inertia and Frequency Control in Power Systems with High Penetration of Renewables</t>
  </si>
  <si>
    <t>Young Researchers Symposium in Electrical Power Engineering</t>
  </si>
  <si>
    <t>P Tielens</t>
  </si>
  <si>
    <t>https://lirias.kuleuven.be/handle/123456789/345286</t>
  </si>
  <si>
    <t>Estimation of Wind Penetration as Limited by Frequency Deviation</t>
  </si>
  <si>
    <t>http://ieeexplore.ieee.org/xpls/abs_all.jsp?arnumber=4292192</t>
  </si>
  <si>
    <t>Review on frequency control of power systems with wind power penetration</t>
  </si>
  <si>
    <t>YZ Sun</t>
  </si>
  <si>
    <t>http://ieeexplore.ieee.org/xpls/abs_all.jsp?arnumber=5666151</t>
  </si>
  <si>
    <t>Understanding inertial and frequency response of wind power plants</t>
  </si>
  <si>
    <t>Power Electronics and Machines in Wind Applications (PEMWA)</t>
  </si>
  <si>
    <t>E Muljadi</t>
  </si>
  <si>
    <t>http://ieeexplore.ieee.org/xpls/abs_all.jsp?arnumber=6316361&amp;tag=1</t>
  </si>
  <si>
    <t>Wind energy and power system inertia</t>
  </si>
  <si>
    <t>LVL Abreu</t>
  </si>
  <si>
    <t>http://ieeexplore.ieee.org/xpls/abs_all.jsp?arnumber=1709240&amp;tag=1</t>
  </si>
  <si>
    <t>Impact of wind farms on a power system. An eigenvalue analysis approach</t>
  </si>
  <si>
    <t>RD Fernandez</t>
  </si>
  <si>
    <t>http://www.sciencedirect.com/science/article/pii/S0960148106002229</t>
  </si>
  <si>
    <t>Impact on transient and frequency stability for a power system at very high wind penetration</t>
  </si>
  <si>
    <t>L Meegahapola</t>
  </si>
  <si>
    <t>http://ieeexplore.ieee.org/stamp/stamp.jsp?tp=&amp;arnumber=5589908</t>
  </si>
  <si>
    <t>Frequency Control in Autonomous Power Systems With High Wind Power Penetration</t>
  </si>
  <si>
    <t>ID Margaris</t>
  </si>
  <si>
    <t>http://ieeexplore.ieee.org/xpls/abs_all.jsp?arnumber=6170988&amp;tag=1</t>
  </si>
  <si>
    <t>Frequency response of power systems with variable speed wind turbines</t>
  </si>
  <si>
    <t>L Ruttledge</t>
  </si>
  <si>
    <t>http://ieeexplore.ieee.org/xpls/abs_all.jsp?arnumber=6289406&amp;tag=1</t>
  </si>
  <si>
    <t>Grid code requirements for artificial inertia control systems in the New Zealand power system</t>
  </si>
  <si>
    <t>MA Pelletier</t>
  </si>
  <si>
    <t>http://ieeexplore.ieee.org/stamp/stamp.jsp?tp=&amp;arnumber=6345212</t>
  </si>
  <si>
    <t>Impacts of Wind Power Minute-to-Minute Variations on Power System Operation</t>
  </si>
  <si>
    <t>H Banakar</t>
  </si>
  <si>
    <t>http://ieeexplore.ieee.org/xpls/abs_all.jsp?arnumber=4435941&amp;tag=1</t>
  </si>
  <si>
    <t>Virtual inertia for variable speed wind turbines</t>
  </si>
  <si>
    <t>L Zeni</t>
  </si>
  <si>
    <t>http://onlinelibrary.wiley.com/doi/10.1002/we.1549/full</t>
  </si>
  <si>
    <t>Wind power impact on system frequency deviation and an ESS based power filtering algorithm solution</t>
  </si>
  <si>
    <t>Power Systems Conference and Exposition</t>
  </si>
  <si>
    <t>W Li</t>
  </si>
  <si>
    <t>http://ieeexplore.ieee.org/xpls/abs_all.jsp?arnumber=4076057</t>
  </si>
  <si>
    <t>"Ramp rate" thermal wind OR solar OR storage</t>
  </si>
  <si>
    <t>On the use of energy storage technologies for regulation services in electric power systems with significant penetration of wind energy</t>
  </si>
  <si>
    <t>Electricity Market</t>
  </si>
  <si>
    <t>B Yang</t>
  </si>
  <si>
    <t>http://ieeexplore.ieee.org/xpls/abs_all.jsp?arnumber=4579075&amp;tag=1</t>
  </si>
  <si>
    <t>Wind integration into various generation mixtures</t>
  </si>
  <si>
    <t>http://www.sciencedirect.com/science/article/pii/S0960148108001535</t>
  </si>
  <si>
    <t>Capturing grid power</t>
  </si>
  <si>
    <t>B Roberts</t>
  </si>
  <si>
    <t>http://ieeexplore.ieee.org/xpls/abs_all.jsp?arnumber=5159604&amp;tag=1</t>
  </si>
  <si>
    <t>An analysis of concentrating solar power with thermal energy storage in a California 33% renewable scenario</t>
  </si>
  <si>
    <t>NREL</t>
  </si>
  <si>
    <t>http://www.smartgridinformation.info/pdf/5517_doc_1.pdf</t>
  </si>
  <si>
    <t>Toward a Solar-Powered Grid</t>
  </si>
  <si>
    <t>G Brinkman</t>
  </si>
  <si>
    <t>http://ieeexplore.ieee.org/xpls/abs_all.jsp?arnumber=5753324</t>
  </si>
  <si>
    <t>Energy storage for use in load frequency control</t>
  </si>
  <si>
    <t>Innovative Technologies for an Efficient and Reliable Electricity Supply</t>
  </si>
  <si>
    <t>O Leitermann</t>
  </si>
  <si>
    <t>http://ieeexplore.ieee.org/xpls/abs_all.jsp?arnumber=5619794</t>
  </si>
  <si>
    <t>Determining optimal electricity technology mix with high level of wind power penetration</t>
  </si>
  <si>
    <t>C De Jonghe</t>
  </si>
  <si>
    <t>http://www.sciencedirect.com/science/article/pii/S0306261910005660</t>
  </si>
  <si>
    <t>Impacts of Large-Scale Wind Penetration on Designing and Operation of Electric Power Systems</t>
  </si>
  <si>
    <t>J Kabouris</t>
  </si>
  <si>
    <t>http://ieeexplore.ieee.org/xpls/abs_all.jsp?arnumber=5466194</t>
  </si>
  <si>
    <t>Energy storage for mitigating the variability of renewable electricity sources: An updated review</t>
  </si>
  <si>
    <t>Energy for Sustainable Development</t>
  </si>
  <si>
    <t>M Beaudin</t>
  </si>
  <si>
    <t>http://www.sciencedirect.com/science/article/pii/S0973082610000566</t>
  </si>
  <si>
    <t>Estimating the Spinning Reserve Requirements in Systems With Significant Wind Power Generation Penetration</t>
  </si>
  <si>
    <t>MA Ortega-Vazquez</t>
  </si>
  <si>
    <t>http://ieeexplore.ieee.org/xpls/abs_all.jsp?arnumber=4682642</t>
  </si>
  <si>
    <t>Incorporating Uncertainty of Wind Power Generation Forecast Into Power System Operation, Dispatch, and Unit Commitment Procedures</t>
  </si>
  <si>
    <t>http://ieeexplore.ieee.org/xpls/abs_all.jsp?arnumber=5929570&amp;tag=1</t>
  </si>
  <si>
    <t>Assessing the Impact of Wind Power Generation on Operating Costs</t>
  </si>
  <si>
    <t>http://ieeexplore.ieee.org/xpls/abs_all.jsp?arnumber=5625935</t>
  </si>
  <si>
    <t>"Power market" intermittent OR intermittency OR variable generation</t>
  </si>
  <si>
    <t>Stochastic security for operations planning with significant wind power generation</t>
  </si>
  <si>
    <t>F Bouffard</t>
  </si>
  <si>
    <t>http://ieeexplore.ieee.org/xpls/abs_all.jsp?arnumber=4596307</t>
  </si>
  <si>
    <t>Integrating distributed generation into electric power systems: A review of drivers, challenges and opportunities</t>
  </si>
  <si>
    <t>JA Peças Lopes</t>
  </si>
  <si>
    <t>http://www.sciencedirect.com/science/article/pii/S0378779606001908,</t>
  </si>
  <si>
    <t>The market value of variable renewables: The effect of solar wind power variability on their relative price</t>
  </si>
  <si>
    <t>L Hirth</t>
  </si>
  <si>
    <t>http://www.sciencedirect.com/science/article/pii/S0140988313000285</t>
  </si>
  <si>
    <t>Reducing the market impact of large shares of intermittent energy in Denmark</t>
  </si>
  <si>
    <t>HK Jacobsen</t>
  </si>
  <si>
    <t>http://www.sciencedirect.com/science/article/pii/S0301421510000959</t>
  </si>
  <si>
    <t>A review on the economic dispatch and risk management considering wind power in the power market</t>
  </si>
  <si>
    <t>R Boqiang</t>
  </si>
  <si>
    <t>http://www.sciencedirect.com/science/article/pii/S1364032109000240</t>
  </si>
  <si>
    <t>Responsive demand in networks with high penetration of wind power</t>
  </si>
  <si>
    <t>V Hamidi</t>
  </si>
  <si>
    <t>http://ieeexplore.ieee.org/xpls/abs_all.jsp?arnumber=4517079</t>
  </si>
  <si>
    <t>China's wind industry: policy lessons for domestic government interventions and international support</t>
  </si>
  <si>
    <t>Climate Policy</t>
  </si>
  <si>
    <t>X Zhang</t>
  </si>
  <si>
    <t>http://www.tandfonline.com/doi/abs/10.3763/cpol.2009.0641</t>
  </si>
  <si>
    <t>The economics of offshore wind</t>
  </si>
  <si>
    <t>http://www.sciencedirect.com/science/article/pii/S0301421510007615</t>
  </si>
  <si>
    <t>The economic benefit of short-term forecasting for wind energy in the UK electricity market</t>
  </si>
  <si>
    <t>H Bevrani</t>
  </si>
  <si>
    <t>http://ieeexplore.ieee.org/xpls/abs_all.jsp?arnumber=5559317&amp;tag=1</t>
  </si>
  <si>
    <t>Cost forecasting</t>
  </si>
  <si>
    <t>Changes in the economic value of variable generation at high penetration levels: a pilot case study of California</t>
  </si>
  <si>
    <t>Lawrence Berkeley National Laboratory</t>
  </si>
  <si>
    <t>A Mills</t>
  </si>
  <si>
    <t>http://escholarship.org/uc/item/2g7677hn#page-1</t>
  </si>
  <si>
    <t>System LCOE: What are the costs of variable renewables?</t>
  </si>
  <si>
    <t>F Ueckerdt</t>
  </si>
  <si>
    <t>http://www.sciencedirect.com/science/article/pii/S0360544213009390</t>
  </si>
  <si>
    <t>Conditions and costs for renewables electricity grid connection: examples in Europe</t>
  </si>
  <si>
    <t>http://www.sciencedirect.com/science/article/pii/S0960148107003631</t>
  </si>
  <si>
    <t>Grid connection costs</t>
  </si>
  <si>
    <t>Supplying renewable energy to deferrable loads: Algorithms and economic analysis</t>
  </si>
  <si>
    <t>http://ieeexplore.ieee.org/stamp/stamp.jsp?tp=&amp;arnumber=5589405</t>
  </si>
  <si>
    <t>Coordination of intermittent generation with storage, demand control and conventional energy sources</t>
  </si>
  <si>
    <t>Bulk Power System Dynamics and Control (iREP)</t>
  </si>
  <si>
    <t>G Hug-Glanzmann</t>
  </si>
  <si>
    <t>http://ieeexplore.ieee.org/xpls/abs_all.jsp?arnumber=5563304</t>
  </si>
  <si>
    <t>Impact of wind power on the unit commitment, operating reserves, and market design</t>
  </si>
  <si>
    <t>J Kiviluoma</t>
  </si>
  <si>
    <t>http://ieeexplore.ieee.org/xpls/abs_all.jsp?arnumber=6039621</t>
  </si>
  <si>
    <t>Sizing Energy Storage to Accommodate High Penetration of Variable Energy Resources</t>
  </si>
  <si>
    <t>http://ieeexplore.ieee.org/xpls/abs_all.jsp?arnumber=6095383</t>
  </si>
  <si>
    <t>Models for Quantifying the Economic Benefits of Distributed Generation</t>
  </si>
  <si>
    <t>HA Gil</t>
  </si>
  <si>
    <t>http://ieeexplore.ieee.org/xpls/abs_all.jsp?arnumber=4494597</t>
  </si>
  <si>
    <t>Modelling An Integrated Northern European Regulating Power Market Based On A Common Day-Ahead Market</t>
  </si>
  <si>
    <t>The Future of Energy: Global Challenges, Diverse Solutions</t>
  </si>
  <si>
    <t>G Doorman</t>
  </si>
  <si>
    <t>http://brage.bibsys.no/xmlui/handle/11250/256992</t>
  </si>
  <si>
    <t>Challenges and options for a large wind power uptake by the European electricity system</t>
  </si>
  <si>
    <t>A Purvins</t>
  </si>
  <si>
    <t>http://www.sciencedirect.com/science/article/pii/S0306261910005246</t>
  </si>
  <si>
    <t>Institutions</t>
  </si>
  <si>
    <t>google</t>
  </si>
  <si>
    <t>n/a</t>
  </si>
  <si>
    <t>Understanding the Balancing Challenge</t>
  </si>
  <si>
    <t>Report</t>
  </si>
  <si>
    <t xml:space="preserve">Imperial College &amp; NERA </t>
  </si>
  <si>
    <t>https://www.gov.uk/government/uploads/system/uploads/attachment_data/file/48553/5767-understanding-the-balancing-challenge.pdf</t>
  </si>
  <si>
    <t>Intermittent Electricity Generation</t>
  </si>
  <si>
    <t>Postnote</t>
  </si>
  <si>
    <t>House of Parlament</t>
  </si>
  <si>
    <t>http://www.google.de/url?sa=t&amp;rct=j&amp;q=&amp;esrc=s&amp;source=web&amp;cd=3&amp;ved=0CC8QFjACahUKEwib18CwkdHIAhWHsxQKHSBEBZk&amp;url=http%3A%2F%2Fresearchbriefings.files.parliament.uk%2Fdocuments%2FPOST-PN-464%2FPOST-PN-464.pdf&amp;usg=AFQjCNE22Jnw3zXh0gEwlaC09_QU0LOdig</t>
  </si>
  <si>
    <t>Electricity Capacity Assessment Report</t>
  </si>
  <si>
    <t>OFGEM</t>
  </si>
  <si>
    <t>https://www.ofgem.gov.uk/ofgem-publications/88523/electricitycapacityassessment2014-fullreportfinalforpublication.pdf</t>
  </si>
  <si>
    <t>Electricity Ten Year Statement</t>
  </si>
  <si>
    <t>National Grid</t>
  </si>
  <si>
    <t>http://www2.nationalgrid.com/UK/Industry-information/Future-of-Energy/Electricity-Ten-Year-Statement/</t>
  </si>
  <si>
    <t>UK Future Energy Scenarios</t>
  </si>
  <si>
    <t>http://www.bre.co.uk/filelibrary/nsc/Documents%20Library/National%20Grid/NAT-G_Info_UK-FES_0714.pdf</t>
  </si>
  <si>
    <t>Winter Outlook Report</t>
  </si>
  <si>
    <t>http://www2.nationalgrid.com/UK/Industry-information/Future-of-Energy/FES/Winter-Outlook/</t>
  </si>
  <si>
    <t>Energy Trends</t>
  </si>
  <si>
    <t>DECC</t>
  </si>
  <si>
    <t>https://www.gov.uk/government/uploads/system/uploads/attachment_data/file/295362/ET_March_2014.PDF</t>
  </si>
  <si>
    <t>Statutory Security of Supply Report</t>
  </si>
  <si>
    <t>DECC / OFGEM</t>
  </si>
  <si>
    <t>https://www.gov.uk/government/uploads/system/uploads/attachment_data/file/261604/HC_675_updated_accessible.pdf</t>
  </si>
  <si>
    <t>Operating the Electricity Transmission Networks in 2020</t>
  </si>
  <si>
    <t>http://www.nationalgrid.com/NR/rdonlyres/DF928C19-9210-4629-AB78-BBAA7AD8B89D/47178/Operatingin2020_finalversion0806_final.pdf</t>
  </si>
  <si>
    <t>Flexible Technology Options: Priorities for Innovation</t>
  </si>
  <si>
    <t>Energy Research Partnership</t>
  </si>
  <si>
    <t>http://erpuk.org/project/flexible-technology-options-priorities-for-innovation/</t>
  </si>
  <si>
    <t>Nuclear Energy and Renewables</t>
  </si>
  <si>
    <t>Nuclear Energy Agency, OECD</t>
  </si>
  <si>
    <t>https://www.oecd-nea.org/ndd/pubs/2012/7056-system-effects.pdf</t>
  </si>
  <si>
    <t>Brattle Report - Alternative Trading Arrangements for Intermittent Renewable Power</t>
  </si>
  <si>
    <t>https://www.ofgem.gov.uk/publications-and-updates/brattle-report-alternative-trading-arrangements-intermittent-renewable-power</t>
  </si>
  <si>
    <t>How renewable subsidies destroyed the UK electricity market</t>
  </si>
  <si>
    <t>Centre for Policy Studies</t>
  </si>
  <si>
    <t>http://www.cps.org.uk/files/reports/original/150313101309-HowrenewablesubsidiesdestroyedtheUKelectricitymarket1.pdf</t>
  </si>
  <si>
    <t xml:space="preserve">Harnessing Variable Renewable </t>
  </si>
  <si>
    <t>IEA</t>
  </si>
  <si>
    <t>https://www.iea.org/publications/freepublications/publication/Harnessing_Variable_Renewables2011.pdf</t>
  </si>
  <si>
    <t>Wind</t>
  </si>
  <si>
    <t>https://www.ieawind.org/annual_reports_PDF/2009/2009AR_92210.pdf</t>
  </si>
  <si>
    <t>Integration of variable renewable technologies (VRE) into power systems</t>
  </si>
  <si>
    <t>Presentation</t>
  </si>
  <si>
    <t>ESMAP</t>
  </si>
  <si>
    <t>https://www.esmap.org/sites/esmap.org/files/DocumentLibrary/Silvia_Integration%20of%20VRE_SMR.pdf</t>
  </si>
  <si>
    <t>Flexibility in 21st Century Power System</t>
  </si>
  <si>
    <t>http://www.nrel.gov/docs/fy14osti/61721.pdf</t>
  </si>
  <si>
    <t>Managing large scale penetration of intermittent renewables</t>
  </si>
  <si>
    <t>MIT</t>
  </si>
  <si>
    <t>https://mitei.mit.edu/system/files/intermittent-renewables-whitepapers.pdf</t>
  </si>
  <si>
    <t>Variability of Wind Power and Other Renewables</t>
  </si>
  <si>
    <t>http://www.uwig.org/iea_report_on_variability.pdf</t>
  </si>
  <si>
    <t>Powering Europe: wind energy and the electricity grid</t>
  </si>
  <si>
    <t>EWEA</t>
  </si>
  <si>
    <t>http://www.ewea.org/fileadmin/files/library/publications/reports/Grids_Report_2010.pdf</t>
  </si>
  <si>
    <t>LARGE SCALE INTEGRATION OF WIND ENERGY IN THE EUROPEAN POWER SUPPLY: analysis, issues and recommendations</t>
  </si>
  <si>
    <t>http://www.uwig.org/eweastudy/051215_grid_report.pdf</t>
  </si>
  <si>
    <t>Transmission and Wind Energy: Capturing the Prevailing Winds for the Benefit of Customers</t>
  </si>
  <si>
    <t>https://www.nationalgridus.com/non_html/c3-3_NG_wind_policy.pdf</t>
  </si>
  <si>
    <t>Wind Power Reassessed: A review of the UK wind resource for electricity generation</t>
  </si>
  <si>
    <t>Adam Smith Institute</t>
  </si>
  <si>
    <t>http://www.adamsmith.org/wp-content/uploads/2014/10/Assessment7.pdf</t>
  </si>
  <si>
    <t>Wind and Solar Curtailment</t>
  </si>
  <si>
    <t>Article</t>
  </si>
  <si>
    <t>http://www.nrel.gov/docs/fy13osti/60245.pdf</t>
  </si>
  <si>
    <t>Integrating intermittent renewable energy technologies with coal-fired power plant</t>
  </si>
  <si>
    <t>http://moo.usea.org/sites/default/files/102011_Integrating%20intermittent%20renewable%20energy%20technologies%20with%20coal-fired%20power%20plant_ccc189.pdf</t>
  </si>
  <si>
    <t>Grid integration of large-capacity Renewable Energy sources and use of large-capacity Electrical Energy Storage</t>
  </si>
  <si>
    <t>IEC</t>
  </si>
  <si>
    <t>http://www.iec.ch/whitepaper/pdf/iecWP-gridintegrationlargecapacity-LR-en.pdf</t>
  </si>
  <si>
    <t>Already known' documents</t>
  </si>
  <si>
    <t>Solar PV Briefing Note</t>
  </si>
  <si>
    <t>Paper for DECC</t>
  </si>
  <si>
    <t>Anon.</t>
  </si>
  <si>
    <t>See 16/12/13 email</t>
  </si>
  <si>
    <t>Cost – competitive Reduction of Carbon Emissions of up to 80% from the US Electric Sector by 2030</t>
  </si>
  <si>
    <t>Presentation from ESRL</t>
  </si>
  <si>
    <t>A MacDonald</t>
  </si>
  <si>
    <t>http://www.esrl.noaa.gov/gmd/publications/annual_meetings/2015/slides/5-MacDonald.pdf</t>
  </si>
  <si>
    <t>Wind generation's contribution to supporting peak electricity demand: meteorological insights</t>
  </si>
  <si>
    <t>Proceedings of the Institution of Mechanical Engineers, Part O: Journal of Risk and Reliability</t>
  </si>
  <si>
    <t>D Brayshaw</t>
  </si>
  <si>
    <t>http://pio.sagepub.com/content/226/1/44.full.pdf+html</t>
  </si>
  <si>
    <t>Balance Management with large shares of renewables</t>
  </si>
  <si>
    <t>2nd Annual European Forum on Grid Integration and Electricity Ancillary Services</t>
  </si>
  <si>
    <t>H Parbo</t>
  </si>
  <si>
    <t>See 10/09/14 email</t>
  </si>
  <si>
    <t>Technical measures for the mitigation of electricity imbalance risk</t>
  </si>
  <si>
    <t>Report for DECC</t>
  </si>
  <si>
    <t>Mott MacDonald</t>
  </si>
  <si>
    <t>See 13/11/14 email</t>
  </si>
  <si>
    <t>Integration of variable renewable electricity sources in electricity systems</t>
  </si>
  <si>
    <t>Report for IEA-RETD</t>
  </si>
  <si>
    <t>http://iea-retd.org/archives/publications/re-integration</t>
  </si>
  <si>
    <t>Managing Flexibility Whilst Decarbonising the GB Electricity System</t>
  </si>
  <si>
    <t>ERP Report</t>
  </si>
  <si>
    <t>A Boston</t>
  </si>
  <si>
    <t>http://erpuk.org/wp-content/uploads/2015/08/ERP-Flex-Man-Full-Report.pdf</t>
  </si>
  <si>
    <t>2014 Wind Technologies Market Report</t>
  </si>
  <si>
    <t>R Wiser</t>
  </si>
  <si>
    <t>https://emp.lbl.gov/sites/all/files/lbnl-188167.pdf</t>
  </si>
  <si>
    <t>Greenpeace 2030 Energy Scenarios</t>
  </si>
  <si>
    <t>Report by Demand Energy Equality</t>
  </si>
  <si>
    <t>D Quiggin</t>
  </si>
  <si>
    <t>http://www.demandenergyequality.org/2030-energy-scenario.html</t>
  </si>
  <si>
    <t>A renewable electrcity system for the UK</t>
  </si>
  <si>
    <t>Book chapter</t>
  </si>
  <si>
    <t>M Barrett</t>
  </si>
  <si>
    <t>See 25/09/15 email and other attached presentations</t>
  </si>
  <si>
    <t>Grid Integration Cost of PhotoVoltaic Power Generation</t>
  </si>
  <si>
    <t>Report for the EC</t>
  </si>
  <si>
    <t>http://www.pvparity.eu/fileadmin/PVPARITY_docs/public/PV_PARITY_D44_Grid_integration_cost_of_PV_-_Final_300913.pdf</t>
  </si>
  <si>
    <t>The net benefits of low and no-carbon electricity technologies</t>
  </si>
  <si>
    <t>Working Paper</t>
  </si>
  <si>
    <t>C Frank</t>
  </si>
  <si>
    <t>http://www.brookings.edu/~/media/research/files/papers/2014/05/19%20low%20carbon%20future%20wind%20solar%20power%20frank/net%20benefits%20final.pdf</t>
  </si>
  <si>
    <t>System Integration Costs for Alternative Low Carbon Generation Technologies – Policy Implications</t>
  </si>
  <si>
    <t>Report for the CCC</t>
  </si>
  <si>
    <t>NERA, Imperial College</t>
  </si>
  <si>
    <t>See 05/10/15 email</t>
  </si>
  <si>
    <t>Sensitivity of 2030 Carbon Intensity to Uncertainties and System Externalities of Power Sector Technologies</t>
  </si>
  <si>
    <t>Meeting the Renewable Energy Targets in the West at Least Cost: The Integration Challenge</t>
  </si>
  <si>
    <t>Report by the Regulatory Assistance Project for the Western Governors’ Association</t>
  </si>
  <si>
    <t>K Porter</t>
  </si>
  <si>
    <t>http://www.uwig.org/variable2012.pdf</t>
  </si>
  <si>
    <t>Harnessing variable renewables: a guide to the balancing challenge</t>
  </si>
  <si>
    <t>Report by the IEA</t>
  </si>
  <si>
    <t>H Chandler</t>
  </si>
  <si>
    <t>Power Perspectives 2030: On the road to a decarbonised power sector - A contributing study to Roadmap</t>
  </si>
  <si>
    <t>Report for the ECF</t>
  </si>
  <si>
    <t>KEMA</t>
  </si>
  <si>
    <t>http://www.roadmap2050.eu/attachments/files/PowerPerspectives2030_FullReport.pdf</t>
  </si>
  <si>
    <t>Economic grid support services by wind and solar PV - a review of system needs, technology options, economic benefits and suitable market mechanisms</t>
  </si>
  <si>
    <t>REserviceS project report</t>
  </si>
  <si>
    <t>http://www.ewea.org/fileadmin/files/library/publications/reports/REserviceS.pdf</t>
  </si>
  <si>
    <t>The Integrated Grid: A Benefit-Cost Framework</t>
  </si>
  <si>
    <t>EPRI report</t>
  </si>
  <si>
    <t>EPRI</t>
  </si>
  <si>
    <t>http://www.epri.com/abstracts/Pages/ProductAbstract.aspx?productId=000000003002004878</t>
  </si>
  <si>
    <t>Renewable Electricity Futures Study</t>
  </si>
  <si>
    <t>NREL report</t>
  </si>
  <si>
    <t>http://www.nrel.gov/docs/fy13osti/52409-ES.pdf</t>
  </si>
  <si>
    <t>Power System Flexibility Strategic Roadmap</t>
  </si>
  <si>
    <t>Ecofys report</t>
  </si>
  <si>
    <t>K Dragoon</t>
  </si>
  <si>
    <t>http://www.ecofys.com/en/publications/power-system-flexibility-strategic-roadmap/</t>
  </si>
  <si>
    <t>Renewables, nuclear, or fossil fuels? Scenarios for Great Britain’s power system considering costs, emissions and energy security</t>
  </si>
  <si>
    <t>S Pfenninger</t>
  </si>
  <si>
    <t>http://www.sciencedirect.com/science/article/pii/S0306261915005656</t>
  </si>
  <si>
    <t>The Power of TransformationWind, Sun and the Economics of Flexible Power Systems</t>
  </si>
  <si>
    <t>IEA report</t>
  </si>
  <si>
    <t>S Muller</t>
  </si>
  <si>
    <t>https://www.iea.org/bookshop/465-The_Power_of_Transformation</t>
  </si>
  <si>
    <t>Growth Scenarios for UK Renewables Generation and Implications for Future Developments and Operation of Electricity Networks</t>
  </si>
  <si>
    <t>Report for BERR</t>
  </si>
  <si>
    <t>Sinclair Knight Merz</t>
  </si>
  <si>
    <t>http://webarchive.nationalarchives.gov.uk/+/http:/www.berr.gov.uk/files/file46772.pdf</t>
  </si>
  <si>
    <t>A Probabilistic Approach to Levelised Cost Calculations For Various Types of Electricity Generation</t>
  </si>
  <si>
    <t>IESIS Report</t>
  </si>
  <si>
    <t>C Gibson</t>
  </si>
  <si>
    <t>http://www.iesisenergy.org/lcost/LCost-Paper.pdf</t>
  </si>
  <si>
    <t>Grid Impacts of Wind Power Variability: Recent Assessments from a Variety of Utilities in the United States</t>
  </si>
  <si>
    <t>Integration of Renewable Energy into Present and Future Energy Systems</t>
  </si>
  <si>
    <t>IPCC special report</t>
  </si>
  <si>
    <t>R Sims</t>
  </si>
  <si>
    <t>http://srren.ipcc-wg3.de/report/IPCC_SRREN_Ch08.pdf</t>
  </si>
  <si>
    <t>Cost and revenue related impacts of integrating impacts of integrating electricity from variable renewable energy into the power system - A review of recent literature</t>
  </si>
  <si>
    <t>ECN report</t>
  </si>
  <si>
    <t>J Sijm</t>
  </si>
  <si>
    <t>ftp://ftp.ecn.nl/pub/www/library/report/2014/e14022.pdf</t>
  </si>
  <si>
    <t>Imperial College' report cited in Frontier Economics 2015 report but not in their ref list!</t>
  </si>
  <si>
    <t>Frontier Economics</t>
  </si>
  <si>
    <t>Revision of reserve requirements following wind power integration in island power systems</t>
  </si>
  <si>
    <t>http://www.sciencedirect.com/science/article/pii/S0960148112003990</t>
  </si>
  <si>
    <t>Impacts of Wind Generation Integration</t>
  </si>
  <si>
    <t>http://www.epri.com/abstracts/pages/productabstract.aspx?ProductID=000000000001023166</t>
  </si>
  <si>
    <t>Quantifying the system balancing cost when wind energy is incorporated into electricity generation system</t>
  </si>
  <si>
    <t>PhD thesis</t>
  </si>
  <si>
    <t>N Issaeva</t>
  </si>
  <si>
    <t>https://www.era.lib.ed.ac.uk/handle/1842/3804</t>
  </si>
  <si>
    <t>The cost of wind power variability</t>
  </si>
  <si>
    <t>W Katzenstein</t>
  </si>
  <si>
    <t>http://www.sciencedirect.com/science/article/pii/S0301421512006246</t>
  </si>
  <si>
    <t>Impact Assessment Of Increasing Unpredictability In Gas Balancing Caused By Massive Wind Power Integration</t>
  </si>
  <si>
    <t>TME working paper</t>
  </si>
  <si>
    <t>N Keyaerts</t>
  </si>
  <si>
    <t>https://www.mech.kuleuven.be/en/tme/research/energy_environment/Pdf/wp-en2011-05.pdf</t>
  </si>
  <si>
    <t>Renewable energy deployment - do the benefits outweigh the costs?</t>
  </si>
  <si>
    <t>GWS Discussion Paper</t>
  </si>
  <si>
    <t>U Lehr</t>
  </si>
  <si>
    <t>https://www.econstor.eu/dspace/bitstream/10419/94390/1/gws-paper12-5.pdf</t>
  </si>
  <si>
    <t>Operational costs induced by fluctuating wind power production in Germany and Scandinavia</t>
  </si>
  <si>
    <t>http://ieeexplore.ieee.org/xpls/abs_all.jsp?arnumber=4694984</t>
  </si>
  <si>
    <t>A Review of Variable Generation Integration Charges</t>
  </si>
  <si>
    <t>NREL technical report</t>
  </si>
  <si>
    <t>http://www.nrel.gov/docs/fy13osti/57583.pdf</t>
  </si>
  <si>
    <t>The Western Wind and Solar Integration Study Phase 2</t>
  </si>
  <si>
    <t>https://www.researchgate.net/profile/Eduardo_Ibanez/publication/273000140_The_Western_Wind_and_Solar_Integration_Study_Phase_2/links/54f485ab0cf2ba6150634872.pdf</t>
  </si>
  <si>
    <t>All Island Electricity Grid Study</t>
  </si>
  <si>
    <t>Report for DECNR</t>
  </si>
  <si>
    <t>Various</t>
  </si>
  <si>
    <t>http://www.eirgrid.com/renewables/all-islandgridstudy/</t>
  </si>
  <si>
    <t>Facilitation of Renewables</t>
  </si>
  <si>
    <t xml:space="preserve">Report for EirGrid and SONI </t>
  </si>
  <si>
    <t>ECOFYS</t>
  </si>
  <si>
    <t>http://www.eirgrid.com/renewables/facilitationofrenewables/</t>
  </si>
  <si>
    <t>Exploration of the integration of renewable resources into California's electric system using the Holistic Grid Resource Integration and Deployment (HiGRID) tool</t>
  </si>
  <si>
    <t>J Eichman</t>
  </si>
  <si>
    <t>http://www.sciencedirect.com/science/article/pii/S0360544212008857</t>
  </si>
  <si>
    <t>European Wind Integration Study. Towards a successful Integration of Large Scale Wind Power into European Electricity Grids</t>
  </si>
  <si>
    <t>EWIS Consortium report</t>
  </si>
  <si>
    <t>EWIS</t>
  </si>
  <si>
    <t>http://www.wind-integration.eu/downloads/library/EWIS_Final_Report.pdf</t>
  </si>
  <si>
    <t>http://iopscience.iop.org/article/10.1088/1748-9326/3/2/025001/fulltext/;jsessionid=8917B409FF3DF358D77ABEB6FF98F296.c4.iopscience.cld.iop.org</t>
  </si>
  <si>
    <t>Design and operation of power systems with large amounts of windpower. Finalreport, IEA WIND Task25, Phase one 2006–2008</t>
  </si>
  <si>
    <t>VTT research note</t>
  </si>
  <si>
    <t>http://www.ieawind.org/AnnexXXV/PDF/Final%20Report%20Task%2025%202008/T2493.pdf</t>
  </si>
  <si>
    <t>Design and operation of power systems with large amounts of wind power. Final summary report, IEA WIND Task 25, Phase two 2009–2011</t>
  </si>
  <si>
    <t>Final report</t>
  </si>
  <si>
    <t>http://www.ieawind.org/task_25/PDF/HomePagePDF's/T75.pdf</t>
  </si>
  <si>
    <t>Why is wind power so expensive? An economic analysis</t>
  </si>
  <si>
    <t>GWPF report</t>
  </si>
  <si>
    <t>G Hughes</t>
  </si>
  <si>
    <t>http://thegwpf.org/images/stories/gwpf-reports/hughes-windpower.pdf</t>
  </si>
  <si>
    <t xml:space="preserve">World Energy Outlook 2012 </t>
  </si>
  <si>
    <t>http://www.iea.org/publications/freepublications/publication/WEO2012_free.pdf</t>
  </si>
  <si>
    <t>Strategies for an efficient integration of wind power considering demand response</t>
  </si>
  <si>
    <t>Fraunhofer Institute report</t>
  </si>
  <si>
    <t>M Klobasa</t>
  </si>
  <si>
    <t>https://www.researchgate.net/profile/Mario_Ragwitz/publication/229049516_Strategies_for_an_efficient_integration_of_wind_power_considering_demand_response/links/00463525bd3011fc45000000.pdf</t>
  </si>
  <si>
    <t>Implications of Wide-Area Geographic Diversity for Short-Term Variability of Solar Power</t>
  </si>
  <si>
    <t>Berkeley National Lab report</t>
  </si>
  <si>
    <t>http://escholarship.org/uc/item/9mz3w055</t>
  </si>
  <si>
    <t>Submission to the Scottish Parliament's Economy, Energy and Tourism Committee</t>
  </si>
  <si>
    <t>Response to Scottish Parliament</t>
  </si>
  <si>
    <t>http://www.scottish.parliament.uk/S4_EconomyEnergyandTourismCommittee/NATIONAL_GRID.pdf</t>
  </si>
  <si>
    <t>Impact of intermittency: How wind variability could change the shape of the British and Irish electricity markets. Summary Report</t>
  </si>
  <si>
    <t>Poyry</t>
  </si>
  <si>
    <t>http://www.poyry.com/sites/default/files/imce/files/impactofintermittencygbandi-july2009-energy.pdf</t>
  </si>
  <si>
    <t>Analysing technical constraints on renewable generation to 2050 - A report to the Committee on Climate Change</t>
  </si>
  <si>
    <t>http://archive.theccc.org.uk/aws/Renewables%20Review/232_Report_Analysing%20the%20technical%20constraints%20on%20renewable%20generation_v8_0.pdf</t>
  </si>
  <si>
    <t>The challenges of intermittency in North West European power markets: The impacts when wind and solar deployment reach their target levels</t>
  </si>
  <si>
    <t>http://www.poyry.com/sites/default/files/imce/files/intermittency_-_march_2011_-_energy.pdf</t>
  </si>
  <si>
    <t>Wind power: implications of large-scale deployment on the GB energy system</t>
  </si>
  <si>
    <t>RAEng</t>
  </si>
  <si>
    <t>http://www.raeng.org.uk/publications/reports/wind-energy-implications-of-large-scale-deployment</t>
  </si>
  <si>
    <t>G Swinand</t>
  </si>
  <si>
    <t>http://londoneconomics.co.uk/wp-content/uploads/2012/05/wind_electricity.pdf</t>
  </si>
  <si>
    <t>The Hidden Costs of Wind Electricity. Why the full cost of wind generation is unlikely to match the cost of natural gas, coal or nuclear generation</t>
  </si>
  <si>
    <t>G Taylor</t>
  </si>
  <si>
    <t>http://www.atinstitute.org/wp-content/uploads/2012/12/Hidden-Cost.pdf</t>
  </si>
  <si>
    <t>2011 Wind Technologies Market Report</t>
  </si>
  <si>
    <t>https://emp.lbl.gov/sites/all/files/lbnl-5559e.pdf</t>
  </si>
  <si>
    <t>Ensuring a Secure, Reliable and Efficient Power System in a Changing Environment</t>
  </si>
  <si>
    <t>EirGrid</t>
  </si>
  <si>
    <t>http://www.eirgrid.com/media/Ensuring_a_Secure_Reliable_and_Efficient_Power_System_Report.pdf</t>
  </si>
  <si>
    <t>Implementation of EU 2020 Renewable Target in the UK Electricity Sector: Renewable Support Schemes</t>
  </si>
  <si>
    <t>Redpoint</t>
  </si>
  <si>
    <t>http://webarchive.nationalarchives.gov.uk/+/http://www.berr.gov.uk/files/file46778.pdf</t>
  </si>
  <si>
    <t>Frequency:</t>
  </si>
  <si>
    <t>Relevance Rating</t>
  </si>
  <si>
    <t>Penetration levels</t>
  </si>
  <si>
    <t>Capacity 
credit</t>
  </si>
  <si>
    <t>Energy spilling 
and curtailment</t>
  </si>
  <si>
    <t>EUR</t>
  </si>
  <si>
    <t>in Germany</t>
  </si>
  <si>
    <t>USD</t>
  </si>
  <si>
    <t>CAD</t>
  </si>
  <si>
    <t>Curtailment</t>
  </si>
  <si>
    <t>UK</t>
  </si>
  <si>
    <t>California</t>
  </si>
  <si>
    <t>Colorado</t>
  </si>
  <si>
    <t>Minesota</t>
  </si>
  <si>
    <t>GER</t>
  </si>
  <si>
    <t>DEN</t>
  </si>
  <si>
    <t>FIN</t>
  </si>
  <si>
    <t>NOR</t>
  </si>
  <si>
    <t>SWE</t>
  </si>
  <si>
    <t>US</t>
  </si>
  <si>
    <t>IRE</t>
  </si>
  <si>
    <t>EU</t>
  </si>
  <si>
    <t>NL</t>
  </si>
  <si>
    <t>wind</t>
  </si>
  <si>
    <t>FRA</t>
  </si>
  <si>
    <t>in Austria</t>
  </si>
  <si>
    <t>in Belgium</t>
  </si>
  <si>
    <t>in Czech Republic</t>
  </si>
  <si>
    <t>in UK</t>
  </si>
  <si>
    <t>in Spain</t>
  </si>
  <si>
    <t>In Europe</t>
  </si>
  <si>
    <t>GBP</t>
  </si>
  <si>
    <t>In UK</t>
  </si>
  <si>
    <t>Germany</t>
  </si>
  <si>
    <t>Ireland</t>
  </si>
  <si>
    <t>Finland</t>
  </si>
  <si>
    <t>France</t>
  </si>
  <si>
    <t>Korea</t>
  </si>
  <si>
    <t>Spain</t>
  </si>
  <si>
    <t>http://www.ons.gov.uk/ons/rel/cpi/consumer-price-indices/october-2015/index.html</t>
  </si>
  <si>
    <t>Jan 1996</t>
  </si>
  <si>
    <t>Feb 1996</t>
  </si>
  <si>
    <t>Mar 1996</t>
  </si>
  <si>
    <t>Apr 1996</t>
  </si>
  <si>
    <t>May 1996</t>
  </si>
  <si>
    <t>Jun 1996</t>
  </si>
  <si>
    <t>Jul 1996</t>
  </si>
  <si>
    <t>Aug 1996</t>
  </si>
  <si>
    <t>Sep 1996</t>
  </si>
  <si>
    <t>Oct 1996</t>
  </si>
  <si>
    <t>Nov 1996</t>
  </si>
  <si>
    <t>Dec 1996</t>
  </si>
  <si>
    <t>Jan 1997</t>
  </si>
  <si>
    <t>Feb 1997</t>
  </si>
  <si>
    <t>Mar 1997</t>
  </si>
  <si>
    <t>Apr 1997</t>
  </si>
  <si>
    <t>May 1997</t>
  </si>
  <si>
    <t>Jun 1997</t>
  </si>
  <si>
    <t>Jul 1997</t>
  </si>
  <si>
    <t>Aug 1997</t>
  </si>
  <si>
    <t>Sep 1997</t>
  </si>
  <si>
    <t>Oct 1997</t>
  </si>
  <si>
    <t>Nov 1997</t>
  </si>
  <si>
    <t>Dec  1997</t>
  </si>
  <si>
    <t>Jan 1998</t>
  </si>
  <si>
    <t>Feb 1998</t>
  </si>
  <si>
    <t>Mar 1998</t>
  </si>
  <si>
    <t>Apr 1998</t>
  </si>
  <si>
    <t>May 1998</t>
  </si>
  <si>
    <t>Jun 1998</t>
  </si>
  <si>
    <t>Jul 1998</t>
  </si>
  <si>
    <t>Aug 1998</t>
  </si>
  <si>
    <t>Sep 1998</t>
  </si>
  <si>
    <t>Oct 1998</t>
  </si>
  <si>
    <t>Nov 1998</t>
  </si>
  <si>
    <t>Dec 1998</t>
  </si>
  <si>
    <t>Jan 1999</t>
  </si>
  <si>
    <t>Feb 1999</t>
  </si>
  <si>
    <t>Mar 1999</t>
  </si>
  <si>
    <t>Apr 1999</t>
  </si>
  <si>
    <t>May 1999</t>
  </si>
  <si>
    <t>Jun 1999</t>
  </si>
  <si>
    <t>Jul 1999</t>
  </si>
  <si>
    <t>Aug 1999</t>
  </si>
  <si>
    <t>Sep 1999</t>
  </si>
  <si>
    <t>Oct 1999</t>
  </si>
  <si>
    <t>Nov 1999</t>
  </si>
  <si>
    <t>Dec 1999</t>
  </si>
  <si>
    <t>Jan 2000</t>
  </si>
  <si>
    <t>Feb 2000</t>
  </si>
  <si>
    <t>Mar 2000</t>
  </si>
  <si>
    <t>Apr 2000</t>
  </si>
  <si>
    <t>May 2000</t>
  </si>
  <si>
    <t>Jun 2000</t>
  </si>
  <si>
    <t>Jul 2000</t>
  </si>
  <si>
    <t>Aug 2000</t>
  </si>
  <si>
    <t>Sep 2000</t>
  </si>
  <si>
    <t>Oct 2000</t>
  </si>
  <si>
    <t>Nov 2000</t>
  </si>
  <si>
    <t>Dec 2000</t>
  </si>
  <si>
    <t>Jan 2001</t>
  </si>
  <si>
    <t>Feb 2001</t>
  </si>
  <si>
    <t>Mar 2001</t>
  </si>
  <si>
    <t>Apr 2001</t>
  </si>
  <si>
    <t>May 2001</t>
  </si>
  <si>
    <t>Jun 2001</t>
  </si>
  <si>
    <t>Jul 2001</t>
  </si>
  <si>
    <t>Aug 2001</t>
  </si>
  <si>
    <t>Sep 2001</t>
  </si>
  <si>
    <t>Oct 2001</t>
  </si>
  <si>
    <t>Nov 2001</t>
  </si>
  <si>
    <t>Dec 2001</t>
  </si>
  <si>
    <t>Jan 2002</t>
  </si>
  <si>
    <t>Feb 2002</t>
  </si>
  <si>
    <t>Mar 2002</t>
  </si>
  <si>
    <t>Apr 2002</t>
  </si>
  <si>
    <t>May 2002</t>
  </si>
  <si>
    <t>Jun 2002</t>
  </si>
  <si>
    <t>Jul 2002</t>
  </si>
  <si>
    <t>Aug 2002</t>
  </si>
  <si>
    <t>Sep 2002</t>
  </si>
  <si>
    <t>Oct 2002</t>
  </si>
  <si>
    <t>Nov 2002</t>
  </si>
  <si>
    <t>Dec 2002</t>
  </si>
  <si>
    <t>Jan 2003</t>
  </si>
  <si>
    <t>Feb 2003</t>
  </si>
  <si>
    <t>Mar 2003</t>
  </si>
  <si>
    <t>Apr 2003</t>
  </si>
  <si>
    <t>May 2003</t>
  </si>
  <si>
    <t>Jun 2003</t>
  </si>
  <si>
    <t>Jul 2003</t>
  </si>
  <si>
    <t>Aug 2003</t>
  </si>
  <si>
    <t>Sep 2003</t>
  </si>
  <si>
    <t>Oct 2003</t>
  </si>
  <si>
    <t>Nov 2003</t>
  </si>
  <si>
    <t>Dec 2003</t>
  </si>
  <si>
    <t>Jan 2004</t>
  </si>
  <si>
    <t>Feb 2004</t>
  </si>
  <si>
    <t>Mar 2004</t>
  </si>
  <si>
    <t>Apr 2004</t>
  </si>
  <si>
    <t>May 2004</t>
  </si>
  <si>
    <t>Jun 2004</t>
  </si>
  <si>
    <t>Jul 2004</t>
  </si>
  <si>
    <t>Aug 2004</t>
  </si>
  <si>
    <t>Sep 2004</t>
  </si>
  <si>
    <t>Oct 2004</t>
  </si>
  <si>
    <t>Nov 2004</t>
  </si>
  <si>
    <t>Dec 2004</t>
  </si>
  <si>
    <t>Jan 2005</t>
  </si>
  <si>
    <t>Feb 2005</t>
  </si>
  <si>
    <t>Mar 2005</t>
  </si>
  <si>
    <t>Apr 2005</t>
  </si>
  <si>
    <t>May 2005</t>
  </si>
  <si>
    <t>Jun 2005</t>
  </si>
  <si>
    <t>Jul 2005</t>
  </si>
  <si>
    <t>Aug 2005</t>
  </si>
  <si>
    <t>Sep 2005</t>
  </si>
  <si>
    <t>Oct 2005</t>
  </si>
  <si>
    <t>Nov 2005</t>
  </si>
  <si>
    <t>Dec 2005</t>
  </si>
  <si>
    <t>Jan 2006</t>
  </si>
  <si>
    <t>Feb 2006</t>
  </si>
  <si>
    <t>Mar 2006</t>
  </si>
  <si>
    <t>Apr 2006</t>
  </si>
  <si>
    <t>May 2006</t>
  </si>
  <si>
    <t>Jun 2006</t>
  </si>
  <si>
    <t>Jul 2006</t>
  </si>
  <si>
    <t>Aug 2006</t>
  </si>
  <si>
    <t>Sep 2006</t>
  </si>
  <si>
    <t>Oct 2006</t>
  </si>
  <si>
    <t>Nov 2006</t>
  </si>
  <si>
    <t>Dec 2006</t>
  </si>
  <si>
    <t>Jan 2007</t>
  </si>
  <si>
    <t>Feb 2007</t>
  </si>
  <si>
    <t>Mar 2007</t>
  </si>
  <si>
    <t>Apr 2007</t>
  </si>
  <si>
    <t>May 2007</t>
  </si>
  <si>
    <t>Jun 2007</t>
  </si>
  <si>
    <t>Jul 2007</t>
  </si>
  <si>
    <t>Aug 2007</t>
  </si>
  <si>
    <t>Sep 2007</t>
  </si>
  <si>
    <t>Oct 2007</t>
  </si>
  <si>
    <t>Nov 2007</t>
  </si>
  <si>
    <t>Dec 2007</t>
  </si>
  <si>
    <t>Jan 2008</t>
  </si>
  <si>
    <t>Feb 2008</t>
  </si>
  <si>
    <t>Mar 2008</t>
  </si>
  <si>
    <t>Apr 2008</t>
  </si>
  <si>
    <t>May 2008</t>
  </si>
  <si>
    <t>Jun 2008</t>
  </si>
  <si>
    <t>Jul 2008</t>
  </si>
  <si>
    <t>Aug 2008</t>
  </si>
  <si>
    <t>Sep 2008</t>
  </si>
  <si>
    <t>Oct 2008</t>
  </si>
  <si>
    <t>Nov 2008</t>
  </si>
  <si>
    <t>Dec 2008</t>
  </si>
  <si>
    <t>Jan 2009</t>
  </si>
  <si>
    <t>Feb 2009</t>
  </si>
  <si>
    <t>Mar 2009</t>
  </si>
  <si>
    <t>Apr 2009</t>
  </si>
  <si>
    <t>May 2009</t>
  </si>
  <si>
    <t>Jun 2009</t>
  </si>
  <si>
    <t>Jul 2009</t>
  </si>
  <si>
    <t>Aug 2009</t>
  </si>
  <si>
    <t>Sep 2009</t>
  </si>
  <si>
    <t>Oct 2009</t>
  </si>
  <si>
    <t>Nov 2009</t>
  </si>
  <si>
    <t>Dec 2009</t>
  </si>
  <si>
    <t>Jan 2010</t>
  </si>
  <si>
    <t>Feb 2010</t>
  </si>
  <si>
    <t>Mar 2010</t>
  </si>
  <si>
    <t>Apr 2010</t>
  </si>
  <si>
    <t>May 2010</t>
  </si>
  <si>
    <t>Jun 2010</t>
  </si>
  <si>
    <t>Jul 2010</t>
  </si>
  <si>
    <t>Aug 2010</t>
  </si>
  <si>
    <t>Sep 2010</t>
  </si>
  <si>
    <t>Oct 2010</t>
  </si>
  <si>
    <t>Nov 2010</t>
  </si>
  <si>
    <t>Dec 2010</t>
  </si>
  <si>
    <t>Jan 2011</t>
  </si>
  <si>
    <t>Feb 2011</t>
  </si>
  <si>
    <t>Mar 2011</t>
  </si>
  <si>
    <t>Apr 2011</t>
  </si>
  <si>
    <t>May 2011</t>
  </si>
  <si>
    <t>Jun 2011</t>
  </si>
  <si>
    <t>Jul 2011</t>
  </si>
  <si>
    <t>Aug 2011</t>
  </si>
  <si>
    <t>Sep 2011</t>
  </si>
  <si>
    <t>Oct 2011</t>
  </si>
  <si>
    <t>Nov 2011</t>
  </si>
  <si>
    <t>Dec 2011</t>
  </si>
  <si>
    <t>Jan 2012</t>
  </si>
  <si>
    <t>Feb 2012</t>
  </si>
  <si>
    <t>Mar 2012</t>
  </si>
  <si>
    <t>Apr 2012</t>
  </si>
  <si>
    <t>May 2012</t>
  </si>
  <si>
    <t>Jun 2012</t>
  </si>
  <si>
    <t>Jul 2012</t>
  </si>
  <si>
    <t>Aug 2012</t>
  </si>
  <si>
    <t>Sep 2012</t>
  </si>
  <si>
    <t>Oct 2012</t>
  </si>
  <si>
    <t>Nov 2012</t>
  </si>
  <si>
    <t>Dec 2012</t>
  </si>
  <si>
    <t>Jan 2013</t>
  </si>
  <si>
    <t>Feb 2013</t>
  </si>
  <si>
    <t>Mar 2013</t>
  </si>
  <si>
    <t>Apr 2013</t>
  </si>
  <si>
    <t>May 2013</t>
  </si>
  <si>
    <t>Jun 2013</t>
  </si>
  <si>
    <t>Jul 2013</t>
  </si>
  <si>
    <t>Aug 2013</t>
  </si>
  <si>
    <t>Sep 2013</t>
  </si>
  <si>
    <t>Oct 2013</t>
  </si>
  <si>
    <t>Nov 2013</t>
  </si>
  <si>
    <t>Dec 2013</t>
  </si>
  <si>
    <t>Jan 2014</t>
  </si>
  <si>
    <t>Feb 2014</t>
  </si>
  <si>
    <t>Mar 2014</t>
  </si>
  <si>
    <t>Apr 2014</t>
  </si>
  <si>
    <t>May 2014</t>
  </si>
  <si>
    <t>Jun 2014</t>
  </si>
  <si>
    <t>Jul 2014</t>
  </si>
  <si>
    <t>Aug  2014</t>
  </si>
  <si>
    <t>Sep 2014</t>
  </si>
  <si>
    <t>Oct 2014</t>
  </si>
  <si>
    <t>Nov 2014</t>
  </si>
  <si>
    <t>Dec 2014</t>
  </si>
  <si>
    <t>Jan 2015</t>
  </si>
  <si>
    <t>Feb 2015</t>
  </si>
  <si>
    <t>Mar 2015</t>
  </si>
  <si>
    <t>Apr 2015</t>
  </si>
  <si>
    <t>May 2015</t>
  </si>
  <si>
    <t>Jun 2015</t>
  </si>
  <si>
    <t>Jul 2015</t>
  </si>
  <si>
    <t>Aug 2015</t>
  </si>
  <si>
    <t>Sep 2015</t>
  </si>
  <si>
    <t>Oct 2015</t>
  </si>
  <si>
    <t>Inflation</t>
  </si>
  <si>
    <t>original data:</t>
  </si>
  <si>
    <t>Note: Data from the Office for National Statistics, document 'CPI-Consumer Prices Index (COICOP)'</t>
  </si>
  <si>
    <t>Note: Exchange rate data is "spot exchange rate against £ sterling" from Bank of England "Statistical Interactive Database "</t>
  </si>
  <si>
    <t>http://www.bankofengland.co.uk/mfsd/iadb/index.asp?Travel=NIxIRx&amp;levels=2&amp;XNotes=Y&amp;A3790XNode3790.x=2&amp;A3790XNode3790.y=7&amp;Nodes=&amp;SectionRequired=I&amp;HideNums=-1&amp;ExtraInfo=true#BM</t>
  </si>
  <si>
    <t>Currency</t>
  </si>
  <si>
    <t>In France</t>
  </si>
  <si>
    <t>In Greece</t>
  </si>
  <si>
    <t>In Italy</t>
  </si>
  <si>
    <t>In Portugal</t>
  </si>
  <si>
    <t>In The Netherlands</t>
  </si>
  <si>
    <t>Penetration level</t>
  </si>
  <si>
    <t>Regional information</t>
  </si>
  <si>
    <t>Type of Variable Energy</t>
  </si>
  <si>
    <t>CAN</t>
  </si>
  <si>
    <t xml:space="preserve">Index </t>
  </si>
  <si>
    <t>https://www.gov.uk/government/statistics/gdp-deflators-at-market-prices-and-money-gdp-november-2015-the-autumn-statement</t>
  </si>
  <si>
    <t>November 2015 GDP deflator values from:</t>
  </si>
  <si>
    <t>The Integration Cost of Wind and Solar Power. An Overview of the Debate on the Effects of Adding Wind and Solar Photovoltaic into Power Systems</t>
  </si>
  <si>
    <t>Report for Agora Energiewende</t>
  </si>
  <si>
    <t>D Fürstenwerth</t>
  </si>
  <si>
    <t>see 23/12/15 email</t>
  </si>
  <si>
    <t>Expert Group suggested documents</t>
  </si>
  <si>
    <t>Active power controls from wind power: Bridging the gaps</t>
  </si>
  <si>
    <t>Report for NREL</t>
  </si>
  <si>
    <t>E. Ela</t>
  </si>
  <si>
    <t>http://www.nrel.gov/docs/fy14osti/60574.pdf</t>
  </si>
  <si>
    <t>Evolution of wholesale electricity market design with increasing levels of renewable generation</t>
  </si>
  <si>
    <t>http://www.nrel.gov/docs/fy14osti/61765.pdf</t>
  </si>
  <si>
    <t>RoCoF Alternative &amp; Complementary Solutions Project Phase 2 Study Report</t>
  </si>
  <si>
    <t>DS3 programme report</t>
  </si>
  <si>
    <t>http://www.eirgridgroup.com/site-files/library/EirGrid/RoCoF-Alternative-Solutions-Project-Phase-2-Report-Final.pdf</t>
  </si>
  <si>
    <t>dena Grid Study II, Integration of Renewable Energy Sources in the German Power Supply System from 2015 – 2020 with an Outlook to 2025, Summary of the main results by the project steering group</t>
  </si>
  <si>
    <t>dena</t>
  </si>
  <si>
    <t>http://www.dena.de/fileadmin/user_upload/Projekte/Erneuerbare/Dokumente/dena_Grid_Study_II_-_final_report.pdf</t>
  </si>
  <si>
    <t>Limits to integration of Renewable Energy Sources. The Spanish experience and challenge</t>
  </si>
  <si>
    <t>Paper/Conference presentation</t>
  </si>
  <si>
    <t>see 23/03/16 email</t>
  </si>
  <si>
    <t>J Revuelta</t>
  </si>
  <si>
    <t>Sweden</t>
  </si>
  <si>
    <t>Capacity Costs</t>
  </si>
  <si>
    <t>ID</t>
  </si>
  <si>
    <t>2015 £/MWh</t>
  </si>
  <si>
    <t>Region</t>
  </si>
  <si>
    <t>Solar PV</t>
  </si>
  <si>
    <t>(Annual average exchange rates)</t>
  </si>
  <si>
    <t>https://ec.europa.eu/eurostat/web/hicp/data/database</t>
  </si>
  <si>
    <t>Eurozone harmonized index of consumer prices from:</t>
  </si>
  <si>
    <t>2017 €/MWh</t>
  </si>
  <si>
    <t>GB</t>
  </si>
  <si>
    <t>CCY</t>
  </si>
  <si>
    <t>Notes</t>
  </si>
  <si>
    <t>Offshore wind, CCC 2015</t>
  </si>
  <si>
    <t>Offshore wind, No progress</t>
  </si>
  <si>
    <t>Offshore wind, Moderate progress</t>
  </si>
  <si>
    <t>Offshore wind, Fast progress</t>
  </si>
  <si>
    <t>Offshore wind, Maximum progress</t>
  </si>
  <si>
    <t>Onshore wind, CCC 2015</t>
  </si>
  <si>
    <t>Onshore wind, No progress</t>
  </si>
  <si>
    <t>Onshore wind, Moderate progress</t>
  </si>
  <si>
    <t>Onshore wind, Fast progress</t>
  </si>
  <si>
    <t>Onshore wind, Maximum  progress</t>
  </si>
  <si>
    <t>Solar PV, CCC 2015</t>
  </si>
  <si>
    <t>Solar PV, No progress</t>
  </si>
  <si>
    <t>Solar PV, Moderate progress</t>
  </si>
  <si>
    <t>Solar PV, Fast progress</t>
  </si>
  <si>
    <t>Solar PV, Maximum progress</t>
  </si>
  <si>
    <t>Aggregated Costs</t>
  </si>
  <si>
    <t>Operating reserve Costs</t>
  </si>
  <si>
    <t>Profile Costs</t>
  </si>
  <si>
    <t>Reported value</t>
  </si>
  <si>
    <t>Wind, Table 3</t>
  </si>
  <si>
    <t>Solar, Table 3</t>
  </si>
  <si>
    <t>Wind, Fig 9</t>
  </si>
  <si>
    <t>Wind, Fig 13</t>
  </si>
  <si>
    <t>Wind, Fig 19</t>
  </si>
  <si>
    <t>Wind, Fig 10</t>
  </si>
  <si>
    <t>Solar, Fig 10</t>
  </si>
  <si>
    <t>Wind, from text</t>
  </si>
  <si>
    <t>Solar, from text</t>
  </si>
  <si>
    <t>Nordic</t>
  </si>
  <si>
    <t>Table 4</t>
  </si>
  <si>
    <t>Final published version of 403</t>
  </si>
  <si>
    <t>Value of Flexibility in a Decarbonised Grid and System Externalities of Low-Carbon Generation Technologies, Report for the Committee on Climate Change</t>
  </si>
  <si>
    <t>Strbac</t>
  </si>
  <si>
    <t>https://www.theccc.org.uk/wp-content/uploads/2015/10/CCC_Externalities_report_Imperial_Final_21Oct20151.pdf</t>
  </si>
  <si>
    <t>Whole-system cost of variable renewables in future GB electricity system, Joint industry project with RWE Innogy, Renewable Energy Systems and Scottish Power Renewables</t>
  </si>
  <si>
    <t>https://www.e3g.org/docs/Whole-system_cost_of_variable_renewables_in_future_GB_electricity_system.pdf</t>
  </si>
  <si>
    <t>Follow-on from 347</t>
  </si>
  <si>
    <t>Integration costs revisited – An economic framework for wind and solar variability</t>
  </si>
  <si>
    <t>Hirth</t>
  </si>
  <si>
    <t>https://www.sciencedirect.com/science/article/pii/S0960148114005357?via%3Dihub</t>
  </si>
  <si>
    <t>"profile costs" AND "variable renewables"</t>
  </si>
  <si>
    <t>ScienceDirect</t>
  </si>
  <si>
    <t>Determining commercially viable two-way and one-way ‘Contract-for-Difference’ strike prices and revenue receipts</t>
  </si>
  <si>
    <t>Wild</t>
  </si>
  <si>
    <t>https://www.sciencedirect.com/science/article/pii/S0301421517305141?via%3Dihub</t>
  </si>
  <si>
    <t>The impact of intraday markets on the market value of flexibility — Decomposing effects on profile and the imbalance costs</t>
  </si>
  <si>
    <t>Pape</t>
  </si>
  <si>
    <t>https://www.sciencedirect.com/science/article/pii/S0140988318304006?via%3Dihub</t>
  </si>
  <si>
    <t>Flexible demand and supply as enablers of variable energy integration</t>
  </si>
  <si>
    <t>Journal of Cleaner Production</t>
  </si>
  <si>
    <t>Huuki</t>
  </si>
  <si>
    <t>https://www.sciencedirect.com/science/article/pii/S0959652620306211?via%3Dihub</t>
  </si>
  <si>
    <t>403/455</t>
  </si>
  <si>
    <t>Worksheets Guide</t>
  </si>
  <si>
    <t>References</t>
  </si>
  <si>
    <t>The list of source documents</t>
  </si>
  <si>
    <t>Inflation indices used to convert to 2017 values</t>
  </si>
  <si>
    <t>Exchange rates used to convert to €</t>
  </si>
  <si>
    <t>The normalised data used in Figures 2-5</t>
  </si>
  <si>
    <t>Capacity Credit</t>
  </si>
  <si>
    <t>Note: ID 1488 not on References worksheet - see Joos, M. &amp; Staffell, I. 2018. Short-term integration costs of variable renewable energy: Wind curtailment and balancing in Britain and Germany. Renewable and Sustainable Energy Reviews, 86, 45-65.</t>
  </si>
  <si>
    <t>Follow-on from 455</t>
  </si>
  <si>
    <t>Res, Cap, Agg, Pro Costs</t>
  </si>
  <si>
    <t>Reviewer suggested document</t>
  </si>
  <si>
    <t>Application of a high-detail energy system model to derive power sector characteristics at high wind and solar shares</t>
  </si>
  <si>
    <t>Scholz</t>
  </si>
  <si>
    <t>https://www.sciencedirect.com/science/article/pii/S0140988316301682?via=ihub</t>
  </si>
  <si>
    <t>Europe</t>
  </si>
  <si>
    <t>Solar 20, Wind 80</t>
  </si>
  <si>
    <t>Solar 50, Wind 50</t>
  </si>
  <si>
    <t>Solar 80, Wind 20</t>
  </si>
  <si>
    <t>The data used in Figure 6</t>
  </si>
  <si>
    <t>Search strings used in the systematic review</t>
  </si>
  <si>
    <t>Search Strings</t>
  </si>
  <si>
    <t>Wind AND (intermittent OR intermittency OR variable generation)</t>
  </si>
  <si>
    <t>Solar AND (intermittent OR intermittency OR variable generation)</t>
  </si>
  <si>
    <t>Storage AND (intermittent OR intermittency OR variable generation)</t>
  </si>
  <si>
    <t>Renewable AND (intermittent OR intermittency OR variable generation)</t>
  </si>
  <si>
    <t>Network AND (wind OR solar OR storage)</t>
  </si>
  <si>
    <t>Grid AND (wind OR solar OR storage)</t>
  </si>
  <si>
    <t>Transmission AND (wind OR solar OR storage)</t>
  </si>
  <si>
    <t>Capacity credit AND (wind OR solar OR storage)</t>
  </si>
  <si>
    <t>Capacity margin AND (wind OR solar OR storage)</t>
  </si>
  <si>
    <t>System reserve AND (wind OR solar OR storage)</t>
  </si>
  <si>
    <t>System balancing AND (wind OR solar OR storage)</t>
  </si>
  <si>
    <t>Load factor AND (wind OR solar OR storage)</t>
  </si>
  <si>
    <t>Inertia AND (wind OR solar OR storage)</t>
  </si>
  <si>
    <t>Ramp rates AND thermal AND (wind OR solar OR storage)</t>
  </si>
  <si>
    <t>Wholesale market AND (intermittent OR intermittency OR variable generation)</t>
  </si>
  <si>
    <t>Power market AND (intermittent OR intermittency OR variable generation)</t>
  </si>
  <si>
    <t>Electricity pool AND (intermittent OR intermittency OR variable generation)</t>
  </si>
  <si>
    <t>Profile cost AND variable renewables</t>
  </si>
  <si>
    <t>Relevance rating</t>
  </si>
  <si>
    <t>Definition</t>
  </si>
  <si>
    <t>Article shows clear data on at least one of the terms above</t>
  </si>
  <si>
    <t>Article shows clear data on at least one of the terms above, however, misses some data or uses an uncommon metric</t>
  </si>
  <si>
    <t>Article mentions at least one of the terms above, however, does not include relevant data</t>
  </si>
  <si>
    <t>Irrelevant article or duplicate</t>
  </si>
  <si>
    <t>Relevance ratings definitions</t>
  </si>
  <si>
    <t>Relevance Ratings</t>
  </si>
  <si>
    <t>The data used in Supplementary Figures 1 and 2 (in Supplementary Information)</t>
  </si>
  <si>
    <t>FRED Graph Observations</t>
  </si>
  <si>
    <t>Federal Reserve Economic Data</t>
  </si>
  <si>
    <t>Link: https://fred.stlouisfed.org</t>
  </si>
  <si>
    <t>Help: https://fredhelp.stlouisfed.org</t>
  </si>
  <si>
    <t>Economic Research Division</t>
  </si>
  <si>
    <t>Federal Reserve Bank of St. Louis</t>
  </si>
  <si>
    <t>CPALTT01USA661S</t>
  </si>
  <si>
    <t>Consumer Price Indices (CPIs, HICPs), COICOP 1999: Consumer Price Index: Total for United States, Index 2015=100, Annual, Seasonally Adjusted</t>
  </si>
  <si>
    <t>Frequency: Annual</t>
  </si>
  <si>
    <t>observation_date</t>
  </si>
  <si>
    <t xml:space="preserve">Exchange Rate in 2017 </t>
  </si>
  <si>
    <t xml:space="preserve">1 euro = </t>
  </si>
  <si>
    <t>Costs in Inflation adjusted 2023 USD</t>
  </si>
  <si>
    <t>Costs in 2023 USD</t>
  </si>
  <si>
    <t>Costs (2023 USD)</t>
  </si>
  <si>
    <t>2023 USD / MWh</t>
  </si>
  <si>
    <t>LCOE Solar</t>
  </si>
  <si>
    <t>LCOE Solar + Storage</t>
  </si>
  <si>
    <t>LCOE Wind (Onshore)</t>
  </si>
  <si>
    <t>Operating Reserve Costs as a % LCOE)</t>
  </si>
  <si>
    <t>0-20</t>
  </si>
  <si>
    <t>Penetration Level</t>
  </si>
  <si>
    <t>20-40</t>
  </si>
  <si>
    <t>40-60</t>
  </si>
  <si>
    <t>60-80</t>
  </si>
  <si>
    <t>80-100</t>
  </si>
  <si>
    <t>resource</t>
  </si>
  <si>
    <t>LCOE ($/MWh)</t>
  </si>
  <si>
    <t>Ultra-super critical Coal</t>
  </si>
  <si>
    <t>Biomass</t>
  </si>
  <si>
    <t>Advanced nuclear</t>
  </si>
  <si>
    <t>Combined cycle</t>
  </si>
  <si>
    <t>Geothermal</t>
  </si>
  <si>
    <t>Wind, offshore</t>
  </si>
  <si>
    <t>Hydroelectric</t>
  </si>
  <si>
    <t>PV-battery hybrid</t>
  </si>
  <si>
    <t>Wind, Onshore</t>
  </si>
  <si>
    <t>PV LCOE</t>
  </si>
  <si>
    <t>PV + Battery LCOE</t>
  </si>
  <si>
    <t>Wind, Onshore LCOE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</si>
</sst>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164" formatCode="_-* #,##0_-;\-* #,##0_-;_-* &quot;-&quot;_-;_-@_-"/>
    <numFmt numFmtId="165" formatCode="_-&quot;£&quot;* #,##0.00_-;\-&quot;£&quot;* #,##0.00_-;_-&quot;£&quot;* &quot;-&quot;??_-;_-@_-"/>
    <numFmt numFmtId="166" formatCode="_-* #,##0.00_-;\-* #,##0.00_-;_-* &quot;-&quot;??_-;_-@_-"/>
    <numFmt numFmtId="167" formatCode="0.0%"/>
    <numFmt numFmtId="168" formatCode="#,##0.0#"/>
    <numFmt numFmtId="169" formatCode="0.000"/>
    <numFmt numFmtId="170" formatCode="0.0"/>
    <numFmt numFmtId="171" formatCode="0.0000"/>
    <numFmt numFmtId="172" formatCode="#\ ##0"/>
    <numFmt numFmtId="173" formatCode="&quot;to &quot;0.0000;&quot;to &quot;\-0.0000;&quot;to 0&quot;"/>
    <numFmt numFmtId="174" formatCode="#,##0;\-#,##0;\-"/>
    <numFmt numFmtId="175" formatCode="[&lt;0.0001]&quot;&lt;0.0001&quot;;0.0000"/>
    <numFmt numFmtId="176" formatCode="#,##0.0,,;\-#,##0.0,,;\-"/>
    <numFmt numFmtId="177" formatCode="#,##0,;\-#,##0,;\-"/>
    <numFmt numFmtId="178" formatCode="0.0%;\-0.0%;\-"/>
    <numFmt numFmtId="179" formatCode="#,##0.0,,;\-#,##0.0,,"/>
    <numFmt numFmtId="180" formatCode="#,##0,;\-#,##0,"/>
    <numFmt numFmtId="181" formatCode="0.0%;\-0.0%"/>
    <numFmt numFmtId="182" formatCode="#,##0.0_-;\(#,##0.0\);_-* &quot;-&quot;??_-"/>
    <numFmt numFmtId="183" formatCode="_-[$€-2]* #,##0.00_-;\-[$€-2]* #,##0.00_-;_-[$€-2]* &quot;-&quot;??_-"/>
    <numFmt numFmtId="184" formatCode="yyyy\-mm\-dd"/>
    <numFmt numFmtId="185" formatCode="0.000000000000000"/>
  </numFmts>
  <fonts count="97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color theme="10"/>
      <name val="Arial"/>
      <family val="2"/>
    </font>
    <font>
      <u/>
      <sz val="10"/>
      <color theme="10"/>
      <name val="Arial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sz val="10"/>
      <color rgb="FFFFFFFF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u/>
      <sz val="10"/>
      <color indexed="12"/>
      <name val="Arial"/>
      <family val="2"/>
    </font>
    <font>
      <i/>
      <sz val="10"/>
      <name val="Arial"/>
      <family val="2"/>
    </font>
    <font>
      <sz val="10"/>
      <name val="System"/>
    </font>
    <font>
      <sz val="10"/>
      <name val="System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u/>
      <sz val="10"/>
      <color indexed="12"/>
      <name val="System"/>
      <family val="2"/>
    </font>
    <font>
      <b/>
      <sz val="10"/>
      <color indexed="18"/>
      <name val="Arial"/>
      <family val="2"/>
    </font>
    <font>
      <sz val="8"/>
      <name val="Times New Roman"/>
      <family val="1"/>
    </font>
    <font>
      <i/>
      <sz val="8"/>
      <name val="Times New Roman"/>
      <family val="1"/>
    </font>
    <font>
      <b/>
      <sz val="9"/>
      <color indexed="18"/>
      <name val="Arial"/>
      <family val="2"/>
    </font>
    <font>
      <b/>
      <sz val="9"/>
      <color indexed="8"/>
      <name val="Arial"/>
      <family val="2"/>
    </font>
    <font>
      <b/>
      <i/>
      <sz val="10"/>
      <name val="Arial"/>
      <family val="2"/>
    </font>
    <font>
      <sz val="7"/>
      <name val="Arial"/>
      <family val="2"/>
    </font>
    <font>
      <sz val="10"/>
      <color indexed="8"/>
      <name val="Arial"/>
      <family val="2"/>
    </font>
    <font>
      <b/>
      <sz val="10"/>
      <name val="Tahoma"/>
      <family val="2"/>
    </font>
    <font>
      <sz val="10"/>
      <name val="Tahoma"/>
      <family val="2"/>
    </font>
    <font>
      <i/>
      <sz val="7"/>
      <name val="Arial"/>
      <family val="2"/>
    </font>
    <font>
      <b/>
      <sz val="8"/>
      <name val="Arial"/>
      <family val="2"/>
    </font>
    <font>
      <b/>
      <sz val="8"/>
      <color indexed="12"/>
      <name val="Arial"/>
      <family val="2"/>
    </font>
    <font>
      <i/>
      <sz val="8"/>
      <color indexed="12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b/>
      <sz val="11"/>
      <color indexed="55"/>
      <name val="Arial"/>
      <family val="2"/>
    </font>
    <font>
      <sz val="11"/>
      <color indexed="10"/>
      <name val="Arial"/>
      <family val="2"/>
    </font>
    <font>
      <b/>
      <sz val="12"/>
      <color indexed="12"/>
      <name val="Arial"/>
      <family val="2"/>
    </font>
    <font>
      <b/>
      <sz val="12"/>
      <name val="Arial"/>
      <family val="2"/>
    </font>
    <font>
      <b/>
      <i/>
      <sz val="12"/>
      <name val="Arial"/>
      <family val="2"/>
    </font>
    <font>
      <sz val="12"/>
      <name val="Helv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sz val="8"/>
      <color indexed="52"/>
      <name val="Arial"/>
      <family val="2"/>
    </font>
    <font>
      <sz val="8"/>
      <color indexed="51"/>
      <name val="Arial"/>
      <family val="2"/>
    </font>
    <font>
      <b/>
      <sz val="10"/>
      <color indexed="58"/>
      <name val="Arial"/>
      <family val="2"/>
    </font>
    <font>
      <sz val="10"/>
      <color indexed="39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6"/>
      <color indexed="23"/>
      <name val="Arial"/>
      <family val="2"/>
    </font>
    <font>
      <sz val="10"/>
      <color indexed="10"/>
      <name val="Arial"/>
      <family val="2"/>
    </font>
    <font>
      <b/>
      <sz val="11"/>
      <name val="Times New Roman"/>
      <family val="1"/>
    </font>
    <font>
      <b/>
      <sz val="18"/>
      <name val="Arial"/>
      <family val="2"/>
    </font>
    <font>
      <u/>
      <sz val="10"/>
      <color theme="10"/>
      <name val="System"/>
      <family val="2"/>
    </font>
    <font>
      <u/>
      <sz val="11"/>
      <color theme="10"/>
      <name val="Calibri"/>
      <family val="2"/>
    </font>
    <font>
      <sz val="12"/>
      <color theme="1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</fonts>
  <fills count="91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0" tint="-0.14999847407452621"/>
        <bgColor rgb="FFCCCCCC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CC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solid">
        <fgColor indexed="3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6795556505021"/>
        <bgColor indexed="64"/>
      </patternFill>
    </fill>
  </fills>
  <borders count="3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indexed="1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8"/>
      </right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/>
      <right/>
      <top/>
      <bottom style="thin">
        <color indexed="1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408">
    <xf numFmtId="0" fontId="0" fillId="0" borderId="0"/>
    <xf numFmtId="0" fontId="13" fillId="0" borderId="0" applyNumberFormat="0" applyFill="0" applyBorder="0" applyAlignment="0" applyProtection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1" fillId="0" borderId="2" applyNumberFormat="0" applyFill="0" applyProtection="0">
      <alignment horizontal="center"/>
    </xf>
    <xf numFmtId="170" fontId="11" fillId="0" borderId="0" applyFont="0" applyFill="0" applyBorder="0" applyProtection="0">
      <alignment horizontal="right"/>
    </xf>
    <xf numFmtId="170" fontId="11" fillId="0" borderId="0" applyFont="0" applyFill="0" applyBorder="0" applyProtection="0">
      <alignment horizontal="right"/>
    </xf>
    <xf numFmtId="0" fontId="19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19" fillId="18" borderId="0" applyNumberFormat="0" applyBorder="0" applyAlignment="0" applyProtection="0"/>
    <xf numFmtId="0" fontId="19" fillId="19" borderId="0" applyNumberFormat="0" applyBorder="0" applyAlignment="0" applyProtection="0"/>
    <xf numFmtId="0" fontId="19" fillId="20" borderId="0" applyNumberFormat="0" applyBorder="0" applyAlignment="0" applyProtection="0"/>
    <xf numFmtId="169" fontId="11" fillId="0" borderId="0" applyFont="0" applyFill="0" applyBorder="0" applyProtection="0">
      <alignment horizontal="right"/>
    </xf>
    <xf numFmtId="169" fontId="11" fillId="0" borderId="0" applyFont="0" applyFill="0" applyBorder="0" applyProtection="0">
      <alignment horizontal="right"/>
    </xf>
    <xf numFmtId="0" fontId="19" fillId="21" borderId="0" applyNumberFormat="0" applyBorder="0" applyAlignment="0" applyProtection="0"/>
    <xf numFmtId="0" fontId="19" fillId="22" borderId="0" applyNumberFormat="0" applyBorder="0" applyAlignment="0" applyProtection="0"/>
    <xf numFmtId="0" fontId="19" fillId="23" borderId="0" applyNumberFormat="0" applyBorder="0" applyAlignment="0" applyProtection="0"/>
    <xf numFmtId="0" fontId="19" fillId="18" borderId="0" applyNumberFormat="0" applyBorder="0" applyAlignment="0" applyProtection="0"/>
    <xf numFmtId="0" fontId="19" fillId="21" borderId="0" applyNumberFormat="0" applyBorder="0" applyAlignment="0" applyProtection="0"/>
    <xf numFmtId="0" fontId="19" fillId="24" borderId="0" applyNumberFormat="0" applyBorder="0" applyAlignment="0" applyProtection="0"/>
    <xf numFmtId="171" fontId="11" fillId="0" borderId="0" applyFont="0" applyFill="0" applyBorder="0" applyProtection="0">
      <alignment horizontal="right"/>
    </xf>
    <xf numFmtId="171" fontId="11" fillId="0" borderId="0" applyFont="0" applyFill="0" applyBorder="0" applyProtection="0">
      <alignment horizontal="right"/>
    </xf>
    <xf numFmtId="0" fontId="24" fillId="25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24" fillId="26" borderId="0" applyNumberFormat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4" fillId="31" borderId="0" applyNumberFormat="0" applyBorder="0" applyAlignment="0" applyProtection="0"/>
    <xf numFmtId="0" fontId="24" fillId="26" borderId="0" applyNumberFormat="0" applyBorder="0" applyAlignment="0" applyProtection="0"/>
    <xf numFmtId="0" fontId="24" fillId="27" borderId="0" applyNumberFormat="0" applyBorder="0" applyAlignment="0" applyProtection="0"/>
    <xf numFmtId="0" fontId="24" fillId="32" borderId="0" applyNumberFormat="0" applyBorder="0" applyAlignment="0" applyProtection="0"/>
    <xf numFmtId="0" fontId="25" fillId="16" borderId="0" applyNumberFormat="0" applyBorder="0" applyAlignment="0" applyProtection="0"/>
    <xf numFmtId="182" fontId="11" fillId="0" borderId="0" applyBorder="0"/>
    <xf numFmtId="0" fontId="26" fillId="33" borderId="3" applyNumberFormat="0" applyAlignment="0" applyProtection="0"/>
    <xf numFmtId="0" fontId="27" fillId="34" borderId="4" applyNumberFormat="0" applyAlignment="0" applyProtection="0"/>
    <xf numFmtId="171" fontId="18" fillId="0" borderId="0" applyFont="0" applyFill="0" applyBorder="0" applyProtection="0">
      <alignment horizontal="right"/>
    </xf>
    <xf numFmtId="173" fontId="18" fillId="0" borderId="0" applyFont="0" applyFill="0" applyBorder="0" applyProtection="0">
      <alignment horizontal="left"/>
    </xf>
    <xf numFmtId="166" fontId="11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11" fillId="0" borderId="0" applyFont="0" applyFill="0" applyBorder="0" applyAlignment="0" applyProtection="0"/>
    <xf numFmtId="0" fontId="57" fillId="0" borderId="5" applyNumberFormat="0" applyBorder="0" applyAlignment="0" applyProtection="0">
      <alignment horizontal="right" vertical="center"/>
    </xf>
    <xf numFmtId="183" fontId="11" fillId="0" borderId="0" applyFont="0" applyFill="0" applyBorder="0" applyAlignment="0" applyProtection="0"/>
    <xf numFmtId="0" fontId="28" fillId="0" borderId="0" applyNumberFormat="0" applyFill="0" applyBorder="0" applyAlignment="0" applyProtection="0"/>
    <xf numFmtId="0" fontId="58" fillId="0" borderId="0">
      <alignment horizontal="right"/>
      <protection locked="0"/>
    </xf>
    <xf numFmtId="0" fontId="42" fillId="0" borderId="0">
      <alignment horizontal="left"/>
    </xf>
    <xf numFmtId="0" fontId="43" fillId="0" borderId="0">
      <alignment horizontal="left"/>
    </xf>
    <xf numFmtId="0" fontId="11" fillId="0" borderId="0" applyFont="0" applyFill="0" applyBorder="0" applyProtection="0">
      <alignment horizontal="right"/>
    </xf>
    <xf numFmtId="0" fontId="11" fillId="0" borderId="0" applyFont="0" applyFill="0" applyBorder="0" applyProtection="0">
      <alignment horizontal="right"/>
    </xf>
    <xf numFmtId="0" fontId="29" fillId="17" borderId="0" applyNumberFormat="0" applyBorder="0" applyAlignment="0" applyProtection="0"/>
    <xf numFmtId="38" fontId="56" fillId="35" borderId="0" applyNumberFormat="0" applyBorder="0" applyAlignment="0" applyProtection="0"/>
    <xf numFmtId="0" fontId="44" fillId="36" borderId="6" applyProtection="0">
      <alignment horizontal="right"/>
    </xf>
    <xf numFmtId="0" fontId="45" fillId="36" borderId="0" applyProtection="0">
      <alignment horizontal="left"/>
    </xf>
    <xf numFmtId="0" fontId="30" fillId="0" borderId="7" applyNumberFormat="0" applyFill="0" applyAlignment="0" applyProtection="0"/>
    <xf numFmtId="0" fontId="59" fillId="0" borderId="0">
      <alignment vertical="top" wrapText="1"/>
    </xf>
    <xf numFmtId="0" fontId="59" fillId="0" borderId="0">
      <alignment vertical="top" wrapText="1"/>
    </xf>
    <xf numFmtId="0" fontId="59" fillId="0" borderId="0">
      <alignment vertical="top" wrapText="1"/>
    </xf>
    <xf numFmtId="0" fontId="59" fillId="0" borderId="0">
      <alignment vertical="top" wrapText="1"/>
    </xf>
    <xf numFmtId="0" fontId="31" fillId="0" borderId="8" applyNumberFormat="0" applyFill="0" applyAlignment="0" applyProtection="0"/>
    <xf numFmtId="174" fontId="60" fillId="0" borderId="0" applyNumberFormat="0" applyFill="0" applyAlignment="0" applyProtection="0"/>
    <xf numFmtId="0" fontId="32" fillId="0" borderId="9" applyNumberFormat="0" applyFill="0" applyAlignment="0" applyProtection="0"/>
    <xf numFmtId="174" fontId="61" fillId="0" borderId="0" applyNumberFormat="0" applyFill="0" applyAlignment="0" applyProtection="0"/>
    <xf numFmtId="0" fontId="32" fillId="0" borderId="0" applyNumberFormat="0" applyFill="0" applyBorder="0" applyAlignment="0" applyProtection="0"/>
    <xf numFmtId="174" fontId="12" fillId="0" borderId="0" applyNumberFormat="0" applyFill="0" applyAlignment="0" applyProtection="0"/>
    <xf numFmtId="174" fontId="46" fillId="0" borderId="0" applyNumberFormat="0" applyFill="0" applyAlignment="0" applyProtection="0"/>
    <xf numFmtId="174" fontId="21" fillId="0" borderId="0" applyNumberFormat="0" applyFill="0" applyAlignment="0" applyProtection="0"/>
    <xf numFmtId="174" fontId="21" fillId="0" borderId="0" applyNumberFormat="0" applyFont="0" applyFill="0" applyBorder="0" applyAlignment="0" applyProtection="0"/>
    <xf numFmtId="174" fontId="21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>
      <alignment vertical="top"/>
      <protection locked="0"/>
    </xf>
    <xf numFmtId="0" fontId="77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>
      <alignment vertical="top"/>
      <protection locked="0"/>
    </xf>
    <xf numFmtId="0" fontId="47" fillId="0" borderId="0" applyFill="0" applyBorder="0" applyProtection="0">
      <alignment horizontal="left"/>
    </xf>
    <xf numFmtId="10" fontId="56" fillId="37" borderId="10" applyNumberFormat="0" applyBorder="0" applyAlignment="0" applyProtection="0"/>
    <xf numFmtId="0" fontId="33" fillId="20" borderId="3" applyNumberFormat="0" applyAlignment="0" applyProtection="0"/>
    <xf numFmtId="0" fontId="33" fillId="20" borderId="3" applyNumberFormat="0" applyAlignment="0" applyProtection="0"/>
    <xf numFmtId="0" fontId="33" fillId="20" borderId="3" applyNumberFormat="0" applyAlignment="0" applyProtection="0"/>
    <xf numFmtId="0" fontId="33" fillId="20" borderId="3" applyNumberFormat="0" applyAlignment="0" applyProtection="0"/>
    <xf numFmtId="0" fontId="33" fillId="20" borderId="3" applyNumberFormat="0" applyAlignment="0" applyProtection="0"/>
    <xf numFmtId="0" fontId="33" fillId="20" borderId="3" applyNumberFormat="0" applyAlignment="0" applyProtection="0"/>
    <xf numFmtId="0" fontId="33" fillId="20" borderId="3" applyNumberFormat="0" applyAlignment="0" applyProtection="0"/>
    <xf numFmtId="0" fontId="33" fillId="20" borderId="3" applyNumberFormat="0" applyAlignment="0" applyProtection="0"/>
    <xf numFmtId="0" fontId="33" fillId="20" borderId="3" applyNumberFormat="0" applyAlignment="0" applyProtection="0"/>
    <xf numFmtId="0" fontId="33" fillId="20" borderId="3" applyNumberFormat="0" applyAlignment="0" applyProtection="0"/>
    <xf numFmtId="0" fontId="33" fillId="20" borderId="3" applyNumberFormat="0" applyAlignment="0" applyProtection="0"/>
    <xf numFmtId="0" fontId="33" fillId="20" borderId="3" applyNumberFormat="0" applyAlignment="0" applyProtection="0"/>
    <xf numFmtId="0" fontId="33" fillId="20" borderId="3" applyNumberFormat="0" applyAlignment="0" applyProtection="0"/>
    <xf numFmtId="0" fontId="33" fillId="20" borderId="3" applyNumberFormat="0" applyAlignment="0" applyProtection="0"/>
    <xf numFmtId="0" fontId="33" fillId="20" borderId="3" applyNumberFormat="0" applyAlignment="0" applyProtection="0"/>
    <xf numFmtId="0" fontId="33" fillId="20" borderId="3" applyNumberFormat="0" applyAlignment="0" applyProtection="0"/>
    <xf numFmtId="0" fontId="33" fillId="20" borderId="3" applyNumberFormat="0" applyAlignment="0" applyProtection="0"/>
    <xf numFmtId="0" fontId="33" fillId="20" borderId="3" applyNumberFormat="0" applyAlignment="0" applyProtection="0"/>
    <xf numFmtId="0" fontId="44" fillId="0" borderId="11" applyProtection="0">
      <alignment horizontal="right"/>
    </xf>
    <xf numFmtId="0" fontId="44" fillId="0" borderId="6" applyProtection="0">
      <alignment horizontal="right"/>
    </xf>
    <xf numFmtId="0" fontId="44" fillId="0" borderId="12" applyProtection="0">
      <alignment horizontal="center"/>
      <protection locked="0"/>
    </xf>
    <xf numFmtId="0" fontId="34" fillId="0" borderId="13" applyNumberFormat="0" applyFill="0" applyAlignment="0" applyProtection="0"/>
    <xf numFmtId="0" fontId="11" fillId="0" borderId="0"/>
    <xf numFmtId="0" fontId="11" fillId="0" borderId="0"/>
    <xf numFmtId="0" fontId="11" fillId="0" borderId="0"/>
    <xf numFmtId="1" fontId="11" fillId="0" borderId="0" applyFont="0" applyFill="0" applyBorder="0" applyProtection="0">
      <alignment horizontal="right"/>
    </xf>
    <xf numFmtId="1" fontId="11" fillId="0" borderId="0" applyFont="0" applyFill="0" applyBorder="0" applyProtection="0">
      <alignment horizontal="right"/>
    </xf>
    <xf numFmtId="0" fontId="35" fillId="38" borderId="0" applyNumberFormat="0" applyBorder="0" applyAlignment="0" applyProtection="0"/>
    <xf numFmtId="0" fontId="62" fillId="0" borderId="0"/>
    <xf numFmtId="0" fontId="62" fillId="0" borderId="0"/>
    <xf numFmtId="0" fontId="62" fillId="0" borderId="0"/>
    <xf numFmtId="0" fontId="62" fillId="0" borderId="0"/>
    <xf numFmtId="0" fontId="62" fillId="0" borderId="0"/>
    <xf numFmtId="172" fontId="23" fillId="0" borderId="0"/>
    <xf numFmtId="0" fontId="11" fillId="0" borderId="0">
      <alignment vertical="top"/>
    </xf>
    <xf numFmtId="0" fontId="2" fillId="0" borderId="0"/>
    <xf numFmtId="0" fontId="2" fillId="0" borderId="0"/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2" fillId="0" borderId="0"/>
    <xf numFmtId="0" fontId="11" fillId="0" borderId="0">
      <alignment vertical="top"/>
    </xf>
    <xf numFmtId="0" fontId="2" fillId="0" borderId="0"/>
    <xf numFmtId="0" fontId="11" fillId="0" borderId="0">
      <alignment vertical="top"/>
    </xf>
    <xf numFmtId="0" fontId="2" fillId="0" borderId="0"/>
    <xf numFmtId="0" fontId="11" fillId="0" borderId="0">
      <alignment vertical="top"/>
    </xf>
    <xf numFmtId="0" fontId="2" fillId="0" borderId="0"/>
    <xf numFmtId="172" fontId="23" fillId="0" borderId="0"/>
    <xf numFmtId="0" fontId="11" fillId="0" borderId="0">
      <alignment vertical="top"/>
    </xf>
    <xf numFmtId="0" fontId="2" fillId="0" borderId="0"/>
    <xf numFmtId="0" fontId="11" fillId="0" borderId="0">
      <alignment vertical="top"/>
    </xf>
    <xf numFmtId="172" fontId="22" fillId="0" borderId="0"/>
    <xf numFmtId="0" fontId="2" fillId="0" borderId="0"/>
    <xf numFmtId="0" fontId="11" fillId="0" borderId="0">
      <alignment vertical="top"/>
    </xf>
    <xf numFmtId="0" fontId="2" fillId="0" borderId="0"/>
    <xf numFmtId="0" fontId="2" fillId="0" borderId="0"/>
    <xf numFmtId="0" fontId="11" fillId="0" borderId="0">
      <alignment vertical="top"/>
    </xf>
    <xf numFmtId="0" fontId="2" fillId="0" borderId="0"/>
    <xf numFmtId="172" fontId="23" fillId="0" borderId="0"/>
    <xf numFmtId="0" fontId="19" fillId="0" borderId="0"/>
    <xf numFmtId="0" fontId="11" fillId="0" borderId="0"/>
    <xf numFmtId="0" fontId="2" fillId="0" borderId="0"/>
    <xf numFmtId="0" fontId="11" fillId="0" borderId="0">
      <alignment vertical="top"/>
    </xf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11" fillId="0" borderId="0"/>
    <xf numFmtId="172" fontId="23" fillId="0" borderId="0"/>
    <xf numFmtId="0" fontId="48" fillId="0" borderId="0"/>
    <xf numFmtId="172" fontId="23" fillId="0" borderId="0"/>
    <xf numFmtId="0" fontId="2" fillId="0" borderId="0"/>
    <xf numFmtId="172" fontId="23" fillId="0" borderId="0"/>
    <xf numFmtId="172" fontId="23" fillId="0" borderId="0"/>
    <xf numFmtId="172" fontId="23" fillId="0" borderId="0"/>
    <xf numFmtId="172" fontId="23" fillId="0" borderId="0"/>
    <xf numFmtId="172" fontId="23" fillId="0" borderId="0"/>
    <xf numFmtId="172" fontId="23" fillId="0" borderId="0"/>
    <xf numFmtId="172" fontId="23" fillId="0" borderId="0"/>
    <xf numFmtId="0" fontId="1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2" fillId="0" borderId="0"/>
    <xf numFmtId="172" fontId="23" fillId="0" borderId="0"/>
    <xf numFmtId="0" fontId="11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79" fillId="0" borderId="0"/>
    <xf numFmtId="0" fontId="2" fillId="0" borderId="0"/>
    <xf numFmtId="0" fontId="11" fillId="0" borderId="0"/>
    <xf numFmtId="0" fontId="2" fillId="0" borderId="0"/>
    <xf numFmtId="172" fontId="23" fillId="0" borderId="0"/>
    <xf numFmtId="0" fontId="11" fillId="0" borderId="0"/>
    <xf numFmtId="172" fontId="23" fillId="0" borderId="0"/>
    <xf numFmtId="0" fontId="11" fillId="0" borderId="0">
      <alignment vertical="top"/>
    </xf>
    <xf numFmtId="172" fontId="23" fillId="0" borderId="0"/>
    <xf numFmtId="0" fontId="11" fillId="0" borderId="0">
      <alignment vertical="top"/>
    </xf>
    <xf numFmtId="172" fontId="23" fillId="0" borderId="0"/>
    <xf numFmtId="0" fontId="11" fillId="0" borderId="0">
      <alignment vertical="top"/>
    </xf>
    <xf numFmtId="172" fontId="23" fillId="0" borderId="0"/>
    <xf numFmtId="0" fontId="11" fillId="0" borderId="0">
      <alignment vertical="top"/>
    </xf>
    <xf numFmtId="0" fontId="11" fillId="39" borderId="14" applyNumberFormat="0" applyFont="0" applyAlignment="0" applyProtection="0"/>
    <xf numFmtId="0" fontId="2" fillId="14" borderId="1" applyNumberFormat="0" applyFont="0" applyAlignment="0" applyProtection="0"/>
    <xf numFmtId="0" fontId="36" fillId="33" borderId="15" applyNumberFormat="0" applyAlignment="0" applyProtection="0"/>
    <xf numFmtId="40" fontId="63" fillId="40" borderId="0">
      <alignment horizontal="right"/>
    </xf>
    <xf numFmtId="0" fontId="64" fillId="40" borderId="0">
      <alignment horizontal="right"/>
    </xf>
    <xf numFmtId="0" fontId="65" fillId="40" borderId="16"/>
    <xf numFmtId="0" fontId="65" fillId="0" borderId="0" applyBorder="0">
      <alignment horizontal="centerContinuous"/>
    </xf>
    <xf numFmtId="0" fontId="66" fillId="0" borderId="0" applyBorder="0">
      <alignment horizontal="centerContinuous"/>
    </xf>
    <xf numFmtId="175" fontId="11" fillId="0" borderId="0" applyFont="0" applyFill="0" applyBorder="0" applyProtection="0">
      <alignment horizontal="right"/>
    </xf>
    <xf numFmtId="175" fontId="11" fillId="0" borderId="0" applyFont="0" applyFill="0" applyBorder="0" applyProtection="0">
      <alignment horizontal="right"/>
    </xf>
    <xf numFmtId="9" fontId="11" fillId="0" borderId="0" applyFont="0" applyFill="0" applyBorder="0" applyAlignment="0" applyProtection="0"/>
    <xf numFmtId="10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1" fillId="0" borderId="0"/>
    <xf numFmtId="2" fontId="67" fillId="41" borderId="17" applyAlignment="0" applyProtection="0">
      <protection locked="0"/>
    </xf>
    <xf numFmtId="0" fontId="68" fillId="37" borderId="17" applyNumberFormat="0" applyAlignment="0" applyProtection="0"/>
    <xf numFmtId="0" fontId="69" fillId="42" borderId="10" applyNumberFormat="0" applyAlignment="0" applyProtection="0">
      <alignment horizontal="center" vertical="center"/>
    </xf>
    <xf numFmtId="4" fontId="48" fillId="43" borderId="15" applyNumberFormat="0" applyProtection="0">
      <alignment vertical="center"/>
    </xf>
    <xf numFmtId="4" fontId="70" fillId="43" borderId="15" applyNumberFormat="0" applyProtection="0">
      <alignment vertical="center"/>
    </xf>
    <xf numFmtId="4" fontId="48" fillId="43" borderId="15" applyNumberFormat="0" applyProtection="0">
      <alignment horizontal="left" vertical="center" indent="1"/>
    </xf>
    <xf numFmtId="4" fontId="48" fillId="43" borderId="15" applyNumberFormat="0" applyProtection="0">
      <alignment horizontal="left" vertical="center" indent="1"/>
    </xf>
    <xf numFmtId="0" fontId="11" fillId="44" borderId="15" applyNumberFormat="0" applyProtection="0">
      <alignment horizontal="left" vertical="center" indent="1"/>
    </xf>
    <xf numFmtId="4" fontId="48" fillId="45" borderId="15" applyNumberFormat="0" applyProtection="0">
      <alignment horizontal="right" vertical="center"/>
    </xf>
    <xf numFmtId="4" fontId="48" fillId="46" borderId="15" applyNumberFormat="0" applyProtection="0">
      <alignment horizontal="right" vertical="center"/>
    </xf>
    <xf numFmtId="4" fontId="48" fillId="47" borderId="15" applyNumberFormat="0" applyProtection="0">
      <alignment horizontal="right" vertical="center"/>
    </xf>
    <xf numFmtId="4" fontId="48" fillId="48" borderId="15" applyNumberFormat="0" applyProtection="0">
      <alignment horizontal="right" vertical="center"/>
    </xf>
    <xf numFmtId="4" fontId="48" fillId="49" borderId="15" applyNumberFormat="0" applyProtection="0">
      <alignment horizontal="right" vertical="center"/>
    </xf>
    <xf numFmtId="4" fontId="48" fillId="50" borderId="15" applyNumberFormat="0" applyProtection="0">
      <alignment horizontal="right" vertical="center"/>
    </xf>
    <xf numFmtId="4" fontId="48" fillId="51" borderId="15" applyNumberFormat="0" applyProtection="0">
      <alignment horizontal="right" vertical="center"/>
    </xf>
    <xf numFmtId="4" fontId="48" fillId="52" borderId="15" applyNumberFormat="0" applyProtection="0">
      <alignment horizontal="right" vertical="center"/>
    </xf>
    <xf numFmtId="4" fontId="48" fillId="53" borderId="15" applyNumberFormat="0" applyProtection="0">
      <alignment horizontal="right" vertical="center"/>
    </xf>
    <xf numFmtId="4" fontId="71" fillId="54" borderId="15" applyNumberFormat="0" applyProtection="0">
      <alignment horizontal="left" vertical="center" indent="1"/>
    </xf>
    <xf numFmtId="4" fontId="48" fillId="55" borderId="18" applyNumberFormat="0" applyProtection="0">
      <alignment horizontal="left" vertical="center" indent="1"/>
    </xf>
    <xf numFmtId="4" fontId="72" fillId="56" borderId="0" applyNumberFormat="0" applyProtection="0">
      <alignment horizontal="left" vertical="center" indent="1"/>
    </xf>
    <xf numFmtId="0" fontId="11" fillId="44" borderId="15" applyNumberFormat="0" applyProtection="0">
      <alignment horizontal="left" vertical="center" indent="1"/>
    </xf>
    <xf numFmtId="4" fontId="48" fillId="55" borderId="15" applyNumberFormat="0" applyProtection="0">
      <alignment horizontal="left" vertical="center" indent="1"/>
    </xf>
    <xf numFmtId="4" fontId="48" fillId="57" borderId="15" applyNumberFormat="0" applyProtection="0">
      <alignment horizontal="left" vertical="center" indent="1"/>
    </xf>
    <xf numFmtId="0" fontId="11" fillId="57" borderId="15" applyNumberFormat="0" applyProtection="0">
      <alignment horizontal="left" vertical="center" indent="1"/>
    </xf>
    <xf numFmtId="0" fontId="11" fillId="57" borderId="15" applyNumberFormat="0" applyProtection="0">
      <alignment horizontal="left" vertical="center" indent="1"/>
    </xf>
    <xf numFmtId="0" fontId="11" fillId="42" borderId="15" applyNumberFormat="0" applyProtection="0">
      <alignment horizontal="left" vertical="center" indent="1"/>
    </xf>
    <xf numFmtId="0" fontId="11" fillId="42" borderId="15" applyNumberFormat="0" applyProtection="0">
      <alignment horizontal="left" vertical="center" indent="1"/>
    </xf>
    <xf numFmtId="0" fontId="11" fillId="35" borderId="15" applyNumberFormat="0" applyProtection="0">
      <alignment horizontal="left" vertical="center" indent="1"/>
    </xf>
    <xf numFmtId="0" fontId="11" fillId="35" borderId="15" applyNumberFormat="0" applyProtection="0">
      <alignment horizontal="left" vertical="center" indent="1"/>
    </xf>
    <xf numFmtId="0" fontId="11" fillId="44" borderId="15" applyNumberFormat="0" applyProtection="0">
      <alignment horizontal="left" vertical="center" indent="1"/>
    </xf>
    <xf numFmtId="0" fontId="11" fillId="44" borderId="15" applyNumberFormat="0" applyProtection="0">
      <alignment horizontal="left" vertical="center" indent="1"/>
    </xf>
    <xf numFmtId="4" fontId="48" fillId="37" borderId="15" applyNumberFormat="0" applyProtection="0">
      <alignment vertical="center"/>
    </xf>
    <xf numFmtId="4" fontId="70" fillId="37" borderId="15" applyNumberFormat="0" applyProtection="0">
      <alignment vertical="center"/>
    </xf>
    <xf numFmtId="4" fontId="48" fillId="37" borderId="15" applyNumberFormat="0" applyProtection="0">
      <alignment horizontal="left" vertical="center" indent="1"/>
    </xf>
    <xf numFmtId="4" fontId="48" fillId="37" borderId="15" applyNumberFormat="0" applyProtection="0">
      <alignment horizontal="left" vertical="center" indent="1"/>
    </xf>
    <xf numFmtId="4" fontId="48" fillId="55" borderId="15" applyNumberFormat="0" applyProtection="0">
      <alignment horizontal="right" vertical="center"/>
    </xf>
    <xf numFmtId="4" fontId="70" fillId="55" borderId="15" applyNumberFormat="0" applyProtection="0">
      <alignment horizontal="right" vertical="center"/>
    </xf>
    <xf numFmtId="0" fontId="11" fillId="44" borderId="15" applyNumberFormat="0" applyProtection="0">
      <alignment horizontal="left" vertical="center" indent="1"/>
    </xf>
    <xf numFmtId="0" fontId="11" fillId="44" borderId="15" applyNumberFormat="0" applyProtection="0">
      <alignment horizontal="left" vertical="center" indent="1"/>
    </xf>
    <xf numFmtId="0" fontId="73" fillId="0" borderId="0"/>
    <xf numFmtId="4" fontId="74" fillId="55" borderId="15" applyNumberFormat="0" applyProtection="0">
      <alignment horizontal="right" vertical="center"/>
    </xf>
    <xf numFmtId="0" fontId="11" fillId="0" borderId="0"/>
    <xf numFmtId="0" fontId="49" fillId="40" borderId="19">
      <alignment horizontal="center"/>
    </xf>
    <xf numFmtId="3" fontId="50" fillId="40" borderId="0"/>
    <xf numFmtId="3" fontId="49" fillId="40" borderId="0"/>
    <xf numFmtId="0" fontId="50" fillId="40" borderId="0"/>
    <xf numFmtId="0" fontId="49" fillId="40" borderId="0"/>
    <xf numFmtId="0" fontId="50" fillId="40" borderId="0">
      <alignment horizontal="center"/>
    </xf>
    <xf numFmtId="0" fontId="51" fillId="0" borderId="0">
      <alignment wrapText="1"/>
    </xf>
    <xf numFmtId="0" fontId="51" fillId="0" borderId="0">
      <alignment wrapText="1"/>
    </xf>
    <xf numFmtId="0" fontId="51" fillId="0" borderId="0">
      <alignment wrapText="1"/>
    </xf>
    <xf numFmtId="0" fontId="51" fillId="0" borderId="0">
      <alignment wrapText="1"/>
    </xf>
    <xf numFmtId="0" fontId="52" fillId="58" borderId="0">
      <alignment horizontal="right" vertical="top" wrapText="1"/>
    </xf>
    <xf numFmtId="0" fontId="52" fillId="58" borderId="0">
      <alignment horizontal="right" vertical="top" wrapText="1"/>
    </xf>
    <xf numFmtId="0" fontId="52" fillId="58" borderId="0">
      <alignment horizontal="right" vertical="top" wrapText="1"/>
    </xf>
    <xf numFmtId="0" fontId="52" fillId="58" borderId="0">
      <alignment horizontal="right" vertical="top" wrapText="1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4" fillId="0" borderId="0"/>
    <xf numFmtId="0" fontId="54" fillId="0" borderId="0"/>
    <xf numFmtId="0" fontId="54" fillId="0" borderId="0"/>
    <xf numFmtId="0" fontId="55" fillId="0" borderId="0"/>
    <xf numFmtId="0" fontId="55" fillId="0" borderId="0"/>
    <xf numFmtId="0" fontId="55" fillId="0" borderId="0"/>
    <xf numFmtId="176" fontId="56" fillId="0" borderId="0">
      <alignment wrapText="1"/>
      <protection locked="0"/>
    </xf>
    <xf numFmtId="176" fontId="56" fillId="0" borderId="0">
      <alignment wrapText="1"/>
      <protection locked="0"/>
    </xf>
    <xf numFmtId="176" fontId="52" fillId="59" borderId="0">
      <alignment wrapText="1"/>
      <protection locked="0"/>
    </xf>
    <xf numFmtId="176" fontId="52" fillId="59" borderId="0">
      <alignment wrapText="1"/>
      <protection locked="0"/>
    </xf>
    <xf numFmtId="176" fontId="52" fillId="59" borderId="0">
      <alignment wrapText="1"/>
      <protection locked="0"/>
    </xf>
    <xf numFmtId="176" fontId="52" fillId="59" borderId="0">
      <alignment wrapText="1"/>
      <protection locked="0"/>
    </xf>
    <xf numFmtId="176" fontId="56" fillId="0" borderId="0">
      <alignment wrapText="1"/>
      <protection locked="0"/>
    </xf>
    <xf numFmtId="177" fontId="56" fillId="0" borderId="0">
      <alignment wrapText="1"/>
      <protection locked="0"/>
    </xf>
    <xf numFmtId="177" fontId="56" fillId="0" borderId="0">
      <alignment wrapText="1"/>
      <protection locked="0"/>
    </xf>
    <xf numFmtId="177" fontId="56" fillId="0" borderId="0">
      <alignment wrapText="1"/>
      <protection locked="0"/>
    </xf>
    <xf numFmtId="177" fontId="52" fillId="59" borderId="0">
      <alignment wrapText="1"/>
      <protection locked="0"/>
    </xf>
    <xf numFmtId="177" fontId="52" fillId="59" borderId="0">
      <alignment wrapText="1"/>
      <protection locked="0"/>
    </xf>
    <xf numFmtId="177" fontId="52" fillId="59" borderId="0">
      <alignment wrapText="1"/>
      <protection locked="0"/>
    </xf>
    <xf numFmtId="177" fontId="52" fillId="59" borderId="0">
      <alignment wrapText="1"/>
      <protection locked="0"/>
    </xf>
    <xf numFmtId="177" fontId="52" fillId="59" borderId="0">
      <alignment wrapText="1"/>
      <protection locked="0"/>
    </xf>
    <xf numFmtId="177" fontId="56" fillId="0" borderId="0">
      <alignment wrapText="1"/>
      <protection locked="0"/>
    </xf>
    <xf numFmtId="178" fontId="56" fillId="0" borderId="0">
      <alignment wrapText="1"/>
      <protection locked="0"/>
    </xf>
    <xf numFmtId="178" fontId="56" fillId="0" borderId="0">
      <alignment wrapText="1"/>
      <protection locked="0"/>
    </xf>
    <xf numFmtId="178" fontId="52" fillId="59" borderId="0">
      <alignment wrapText="1"/>
      <protection locked="0"/>
    </xf>
    <xf numFmtId="178" fontId="52" fillId="59" borderId="0">
      <alignment wrapText="1"/>
      <protection locked="0"/>
    </xf>
    <xf numFmtId="178" fontId="52" fillId="59" borderId="0">
      <alignment wrapText="1"/>
      <protection locked="0"/>
    </xf>
    <xf numFmtId="178" fontId="52" fillId="59" borderId="0">
      <alignment wrapText="1"/>
      <protection locked="0"/>
    </xf>
    <xf numFmtId="178" fontId="56" fillId="0" borderId="0">
      <alignment wrapText="1"/>
      <protection locked="0"/>
    </xf>
    <xf numFmtId="179" fontId="52" fillId="58" borderId="20">
      <alignment wrapText="1"/>
    </xf>
    <xf numFmtId="179" fontId="52" fillId="58" borderId="20">
      <alignment wrapText="1"/>
    </xf>
    <xf numFmtId="179" fontId="52" fillId="58" borderId="20">
      <alignment wrapText="1"/>
    </xf>
    <xf numFmtId="180" fontId="52" fillId="58" borderId="20">
      <alignment wrapText="1"/>
    </xf>
    <xf numFmtId="180" fontId="52" fillId="58" borderId="20">
      <alignment wrapText="1"/>
    </xf>
    <xf numFmtId="180" fontId="52" fillId="58" borderId="20">
      <alignment wrapText="1"/>
    </xf>
    <xf numFmtId="180" fontId="52" fillId="58" borderId="20">
      <alignment wrapText="1"/>
    </xf>
    <xf numFmtId="181" fontId="52" fillId="58" borderId="20">
      <alignment wrapText="1"/>
    </xf>
    <xf numFmtId="181" fontId="52" fillId="58" borderId="20">
      <alignment wrapText="1"/>
    </xf>
    <xf numFmtId="181" fontId="52" fillId="58" borderId="20">
      <alignment wrapText="1"/>
    </xf>
    <xf numFmtId="0" fontId="53" fillId="0" borderId="21">
      <alignment horizontal="right"/>
    </xf>
    <xf numFmtId="0" fontId="53" fillId="0" borderId="21">
      <alignment horizontal="right"/>
    </xf>
    <xf numFmtId="0" fontId="53" fillId="0" borderId="21">
      <alignment horizontal="right"/>
    </xf>
    <xf numFmtId="0" fontId="53" fillId="0" borderId="21">
      <alignment horizontal="right"/>
    </xf>
    <xf numFmtId="40" fontId="75" fillId="0" borderId="0"/>
    <xf numFmtId="0" fontId="37" fillId="0" borderId="0" applyNumberFormat="0" applyFill="0" applyBorder="0" applyAlignment="0" applyProtection="0"/>
    <xf numFmtId="0" fontId="76" fillId="0" borderId="0" applyNumberFormat="0" applyFill="0" applyBorder="0" applyProtection="0">
      <alignment horizontal="left" vertical="center" indent="10"/>
    </xf>
    <xf numFmtId="0" fontId="76" fillId="0" borderId="0" applyNumberFormat="0" applyFill="0" applyBorder="0" applyProtection="0">
      <alignment horizontal="left" vertical="center" indent="10"/>
    </xf>
    <xf numFmtId="0" fontId="38" fillId="0" borderId="22" applyNumberFormat="0" applyFill="0" applyAlignment="0" applyProtection="0"/>
    <xf numFmtId="0" fontId="39" fillId="0" borderId="0" applyNumberFormat="0" applyFill="0" applyBorder="0" applyAlignment="0" applyProtection="0"/>
    <xf numFmtId="0" fontId="56" fillId="0" borderId="0"/>
    <xf numFmtId="0" fontId="3" fillId="0" borderId="0"/>
    <xf numFmtId="166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0" fillId="0" borderId="0" applyNumberFormat="0" applyFill="0" applyBorder="0" applyAlignment="0" applyProtection="0"/>
    <xf numFmtId="0" fontId="81" fillId="0" borderId="23" applyNumberFormat="0" applyFill="0" applyAlignment="0" applyProtection="0"/>
    <xf numFmtId="0" fontId="82" fillId="0" borderId="24" applyNumberFormat="0" applyFill="0" applyAlignment="0" applyProtection="0"/>
    <xf numFmtId="0" fontId="83" fillId="0" borderId="25" applyNumberFormat="0" applyFill="0" applyAlignment="0" applyProtection="0"/>
    <xf numFmtId="0" fontId="83" fillId="0" borderId="0" applyNumberFormat="0" applyFill="0" applyBorder="0" applyAlignment="0" applyProtection="0"/>
    <xf numFmtId="0" fontId="84" fillId="60" borderId="0" applyNumberFormat="0" applyBorder="0" applyAlignment="0" applyProtection="0"/>
    <xf numFmtId="0" fontId="85" fillId="61" borderId="0" applyNumberFormat="0" applyBorder="0" applyAlignment="0" applyProtection="0"/>
    <xf numFmtId="0" fontId="86" fillId="62" borderId="0" applyNumberFormat="0" applyBorder="0" applyAlignment="0" applyProtection="0"/>
    <xf numFmtId="0" fontId="87" fillId="63" borderId="26" applyNumberFormat="0" applyAlignment="0" applyProtection="0"/>
    <xf numFmtId="0" fontId="88" fillId="64" borderId="27" applyNumberFormat="0" applyAlignment="0" applyProtection="0"/>
    <xf numFmtId="0" fontId="89" fillId="64" borderId="26" applyNumberFormat="0" applyAlignment="0" applyProtection="0"/>
    <xf numFmtId="0" fontId="90" fillId="0" borderId="28" applyNumberFormat="0" applyFill="0" applyAlignment="0" applyProtection="0"/>
    <xf numFmtId="0" fontId="91" fillId="65" borderId="29" applyNumberFormat="0" applyAlignment="0" applyProtection="0"/>
    <xf numFmtId="0" fontId="92" fillId="0" borderId="0" applyNumberFormat="0" applyFill="0" applyBorder="0" applyAlignment="0" applyProtection="0"/>
    <xf numFmtId="0" fontId="93" fillId="0" borderId="0" applyNumberFormat="0" applyFill="0" applyBorder="0" applyAlignment="0" applyProtection="0"/>
    <xf numFmtId="0" fontId="94" fillId="0" borderId="30" applyNumberFormat="0" applyFill="0" applyAlignment="0" applyProtection="0"/>
    <xf numFmtId="0" fontId="95" fillId="66" borderId="0" applyNumberFormat="0" applyBorder="0" applyAlignment="0" applyProtection="0"/>
    <xf numFmtId="0" fontId="1" fillId="67" borderId="0" applyNumberFormat="0" applyBorder="0" applyAlignment="0" applyProtection="0"/>
    <xf numFmtId="0" fontId="1" fillId="68" borderId="0" applyNumberFormat="0" applyBorder="0" applyAlignment="0" applyProtection="0"/>
    <xf numFmtId="0" fontId="95" fillId="69" borderId="0" applyNumberFormat="0" applyBorder="0" applyAlignment="0" applyProtection="0"/>
    <xf numFmtId="0" fontId="95" fillId="70" borderId="0" applyNumberFormat="0" applyBorder="0" applyAlignment="0" applyProtection="0"/>
    <xf numFmtId="0" fontId="1" fillId="71" borderId="0" applyNumberFormat="0" applyBorder="0" applyAlignment="0" applyProtection="0"/>
    <xf numFmtId="0" fontId="1" fillId="72" borderId="0" applyNumberFormat="0" applyBorder="0" applyAlignment="0" applyProtection="0"/>
    <xf numFmtId="0" fontId="95" fillId="73" borderId="0" applyNumberFormat="0" applyBorder="0" applyAlignment="0" applyProtection="0"/>
    <xf numFmtId="0" fontId="95" fillId="74" borderId="0" applyNumberFormat="0" applyBorder="0" applyAlignment="0" applyProtection="0"/>
    <xf numFmtId="0" fontId="1" fillId="75" borderId="0" applyNumberFormat="0" applyBorder="0" applyAlignment="0" applyProtection="0"/>
    <xf numFmtId="0" fontId="1" fillId="76" borderId="0" applyNumberFormat="0" applyBorder="0" applyAlignment="0" applyProtection="0"/>
    <xf numFmtId="0" fontId="95" fillId="77" borderId="0" applyNumberFormat="0" applyBorder="0" applyAlignment="0" applyProtection="0"/>
    <xf numFmtId="0" fontId="95" fillId="78" borderId="0" applyNumberFormat="0" applyBorder="0" applyAlignment="0" applyProtection="0"/>
    <xf numFmtId="0" fontId="1" fillId="79" borderId="0" applyNumberFormat="0" applyBorder="0" applyAlignment="0" applyProtection="0"/>
    <xf numFmtId="0" fontId="1" fillId="80" borderId="0" applyNumberFormat="0" applyBorder="0" applyAlignment="0" applyProtection="0"/>
    <xf numFmtId="0" fontId="95" fillId="81" borderId="0" applyNumberFormat="0" applyBorder="0" applyAlignment="0" applyProtection="0"/>
    <xf numFmtId="0" fontId="95" fillId="82" borderId="0" applyNumberFormat="0" applyBorder="0" applyAlignment="0" applyProtection="0"/>
    <xf numFmtId="0" fontId="1" fillId="83" borderId="0" applyNumberFormat="0" applyBorder="0" applyAlignment="0" applyProtection="0"/>
    <xf numFmtId="0" fontId="1" fillId="84" borderId="0" applyNumberFormat="0" applyBorder="0" applyAlignment="0" applyProtection="0"/>
    <xf numFmtId="0" fontId="95" fillId="85" borderId="0" applyNumberFormat="0" applyBorder="0" applyAlignment="0" applyProtection="0"/>
    <xf numFmtId="0" fontId="95" fillId="86" borderId="0" applyNumberFormat="0" applyBorder="0" applyAlignment="0" applyProtection="0"/>
    <xf numFmtId="0" fontId="1" fillId="87" borderId="0" applyNumberFormat="0" applyBorder="0" applyAlignment="0" applyProtection="0"/>
    <xf numFmtId="0" fontId="1" fillId="88" borderId="0" applyNumberFormat="0" applyBorder="0" applyAlignment="0" applyProtection="0"/>
    <xf numFmtId="0" fontId="95" fillId="8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4" borderId="1" applyNumberFormat="0" applyFont="0" applyAlignment="0" applyProtection="0"/>
    <xf numFmtId="0" fontId="1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96" fillId="0" borderId="0"/>
  </cellStyleXfs>
  <cellXfs count="116">
    <xf numFmtId="0" fontId="0" fillId="0" borderId="0" xfId="0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/>
    <xf numFmtId="3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3" fillId="0" borderId="0" xfId="0" applyFont="1" applyAlignment="1">
      <alignment horizontal="left"/>
    </xf>
    <xf numFmtId="0" fontId="9" fillId="0" borderId="0" xfId="0" applyFont="1"/>
    <xf numFmtId="0" fontId="3" fillId="0" borderId="0" xfId="0" applyFont="1" applyAlignment="1">
      <alignment horizontal="right"/>
    </xf>
    <xf numFmtId="9" fontId="3" fillId="0" borderId="0" xfId="0" applyNumberFormat="1" applyFont="1" applyAlignment="1">
      <alignment horizontal="center"/>
    </xf>
    <xf numFmtId="167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9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0" fontId="11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horizontal="center"/>
    </xf>
    <xf numFmtId="0" fontId="10" fillId="0" borderId="0" xfId="0" applyFont="1"/>
    <xf numFmtId="0" fontId="0" fillId="0" borderId="0" xfId="0" applyAlignment="1">
      <alignment horizontal="right"/>
    </xf>
    <xf numFmtId="9" fontId="10" fillId="0" borderId="0" xfId="0" applyNumberFormat="1" applyFont="1" applyAlignment="1">
      <alignment horizontal="center"/>
    </xf>
    <xf numFmtId="0" fontId="0" fillId="7" borderId="0" xfId="0" applyFill="1"/>
    <xf numFmtId="0" fontId="13" fillId="0" borderId="0" xfId="1" applyAlignment="1" applyProtection="1"/>
    <xf numFmtId="0" fontId="14" fillId="0" borderId="0" xfId="1" applyFont="1" applyAlignment="1" applyProtection="1"/>
    <xf numFmtId="0" fontId="11" fillId="0" borderId="0" xfId="0" applyFont="1" applyAlignment="1">
      <alignment horizontal="left"/>
    </xf>
    <xf numFmtId="168" fontId="11" fillId="0" borderId="0" xfId="0" applyNumberFormat="1" applyFont="1" applyAlignment="1">
      <alignment horizontal="right"/>
    </xf>
    <xf numFmtId="3" fontId="11" fillId="0" borderId="0" xfId="0" applyNumberFormat="1" applyFont="1" applyAlignment="1">
      <alignment horizontal="right"/>
    </xf>
    <xf numFmtId="0" fontId="0" fillId="0" borderId="0" xfId="0" applyAlignment="1">
      <alignment horizontal="right" wrapText="1"/>
    </xf>
    <xf numFmtId="15" fontId="0" fillId="0" borderId="0" xfId="0" applyNumberFormat="1" applyAlignment="1">
      <alignment horizontal="right"/>
    </xf>
    <xf numFmtId="9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0" fillId="5" borderId="0" xfId="0" applyFont="1" applyFill="1" applyAlignment="1">
      <alignment horizontal="center"/>
    </xf>
    <xf numFmtId="0" fontId="10" fillId="0" borderId="0" xfId="0" applyFont="1" applyAlignment="1">
      <alignment wrapText="1"/>
    </xf>
    <xf numFmtId="0" fontId="12" fillId="11" borderId="0" xfId="0" applyFont="1" applyFill="1" applyAlignment="1">
      <alignment horizontal="center" vertical="center"/>
    </xf>
    <xf numFmtId="0" fontId="10" fillId="0" borderId="0" xfId="0" applyFont="1" applyAlignment="1">
      <alignment horizontal="center" wrapText="1"/>
    </xf>
    <xf numFmtId="10" fontId="10" fillId="0" borderId="0" xfId="0" applyNumberFormat="1" applyFont="1" applyAlignment="1">
      <alignment horizontal="center" wrapText="1"/>
    </xf>
    <xf numFmtId="0" fontId="11" fillId="0" borderId="0" xfId="0" applyFont="1"/>
    <xf numFmtId="0" fontId="15" fillId="0" borderId="0" xfId="0" applyFont="1"/>
    <xf numFmtId="0" fontId="11" fillId="5" borderId="0" xfId="0" applyFont="1" applyFill="1" applyAlignment="1">
      <alignment horizontal="center"/>
    </xf>
    <xf numFmtId="167" fontId="11" fillId="0" borderId="0" xfId="0" applyNumberFormat="1" applyFont="1" applyAlignment="1">
      <alignment horizontal="center"/>
    </xf>
    <xf numFmtId="0" fontId="11" fillId="6" borderId="0" xfId="0" applyFont="1" applyFill="1" applyAlignment="1">
      <alignment horizontal="center"/>
    </xf>
    <xf numFmtId="0" fontId="11" fillId="11" borderId="0" xfId="0" applyFont="1" applyFill="1"/>
    <xf numFmtId="0" fontId="10" fillId="9" borderId="0" xfId="0" applyFont="1" applyFill="1"/>
    <xf numFmtId="0" fontId="12" fillId="11" borderId="0" xfId="0" applyFont="1" applyFill="1"/>
    <xf numFmtId="0" fontId="12" fillId="2" borderId="0" xfId="0" applyFont="1" applyFill="1"/>
    <xf numFmtId="0" fontId="11" fillId="0" borderId="0" xfId="0" applyFont="1" applyAlignment="1">
      <alignment horizontal="center" wrapText="1"/>
    </xf>
    <xf numFmtId="0" fontId="11" fillId="0" borderId="0" xfId="0" applyFont="1" applyAlignment="1">
      <alignment wrapText="1"/>
    </xf>
    <xf numFmtId="3" fontId="11" fillId="0" borderId="0" xfId="0" applyNumberFormat="1" applyFont="1"/>
    <xf numFmtId="0" fontId="16" fillId="0" borderId="0" xfId="0" applyFont="1"/>
    <xf numFmtId="0" fontId="14" fillId="0" borderId="0" xfId="1" applyFont="1" applyAlignment="1"/>
    <xf numFmtId="0" fontId="11" fillId="0" borderId="0" xfId="0" applyFont="1" applyAlignment="1">
      <alignment vertical="top"/>
    </xf>
    <xf numFmtId="0" fontId="16" fillId="0" borderId="0" xfId="0" applyFont="1" applyAlignment="1">
      <alignment vertical="top"/>
    </xf>
    <xf numFmtId="4" fontId="11" fillId="0" borderId="0" xfId="0" applyNumberFormat="1" applyFont="1"/>
    <xf numFmtId="0" fontId="10" fillId="3" borderId="0" xfId="0" applyFont="1" applyFill="1"/>
    <xf numFmtId="0" fontId="11" fillId="0" borderId="0" xfId="0" applyFont="1" applyAlignment="1">
      <alignment horizontal="right"/>
    </xf>
    <xf numFmtId="0" fontId="11" fillId="2" borderId="0" xfId="0" applyFont="1" applyFill="1" applyAlignment="1">
      <alignment horizontal="center"/>
    </xf>
    <xf numFmtId="0" fontId="11" fillId="4" borderId="0" xfId="0" applyFont="1" applyFill="1"/>
    <xf numFmtId="0" fontId="11" fillId="4" borderId="0" xfId="0" applyFont="1" applyFill="1" applyAlignment="1">
      <alignment horizontal="center"/>
    </xf>
    <xf numFmtId="0" fontId="17" fillId="0" borderId="0" xfId="0" applyFont="1"/>
    <xf numFmtId="0" fontId="17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167" fontId="12" fillId="9" borderId="0" xfId="0" applyNumberFormat="1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12" fillId="11" borderId="0" xfId="0" applyFont="1" applyFill="1" applyAlignment="1">
      <alignment horizontal="center" wrapText="1"/>
    </xf>
    <xf numFmtId="0" fontId="12" fillId="11" borderId="0" xfId="0" applyFont="1" applyFill="1" applyAlignment="1">
      <alignment wrapText="1"/>
    </xf>
    <xf numFmtId="0" fontId="12" fillId="12" borderId="0" xfId="0" applyFont="1" applyFill="1" applyAlignment="1">
      <alignment horizontal="center" wrapText="1"/>
    </xf>
    <xf numFmtId="9" fontId="0" fillId="13" borderId="0" xfId="0" applyNumberFormat="1" applyFill="1" applyAlignment="1">
      <alignment horizontal="center"/>
    </xf>
    <xf numFmtId="0" fontId="10" fillId="5" borderId="0" xfId="0" applyFont="1" applyFill="1" applyAlignment="1">
      <alignment horizontal="center" wrapText="1"/>
    </xf>
    <xf numFmtId="169" fontId="11" fillId="7" borderId="0" xfId="352" applyNumberFormat="1" applyFont="1" applyFill="1" applyAlignment="1">
      <alignment horizontal="right"/>
    </xf>
    <xf numFmtId="0" fontId="13" fillId="0" borderId="0" xfId="1" applyAlignment="1"/>
    <xf numFmtId="169" fontId="11" fillId="0" borderId="0" xfId="352" applyNumberFormat="1" applyFont="1" applyAlignment="1">
      <alignment horizontal="right"/>
    </xf>
    <xf numFmtId="169" fontId="11" fillId="0" borderId="0" xfId="352" applyNumberFormat="1" applyFont="1" applyAlignment="1">
      <alignment horizontal="right" vertical="top" wrapText="1"/>
    </xf>
    <xf numFmtId="0" fontId="10" fillId="0" borderId="0" xfId="0" applyFont="1" applyAlignment="1">
      <alignment horizontal="right" wrapText="1"/>
    </xf>
    <xf numFmtId="9" fontId="10" fillId="0" borderId="0" xfId="0" applyNumberFormat="1" applyFont="1" applyAlignment="1">
      <alignment horizontal="center" wrapText="1"/>
    </xf>
    <xf numFmtId="0" fontId="13" fillId="0" borderId="0" xfId="1" applyBorder="1" applyAlignment="1">
      <alignment wrapText="1"/>
    </xf>
    <xf numFmtId="9" fontId="10" fillId="0" borderId="0" xfId="0" applyNumberFormat="1" applyFont="1" applyAlignment="1">
      <alignment horizontal="left"/>
    </xf>
    <xf numFmtId="10" fontId="10" fillId="0" borderId="0" xfId="355" applyNumberFormat="1" applyFont="1" applyAlignment="1">
      <alignment horizontal="left"/>
    </xf>
    <xf numFmtId="2" fontId="0" fillId="0" borderId="0" xfId="0" applyNumberFormat="1"/>
    <xf numFmtId="2" fontId="0" fillId="0" borderId="0" xfId="0" applyNumberFormat="1" applyAlignment="1">
      <alignment horizontal="right"/>
    </xf>
    <xf numFmtId="2" fontId="10" fillId="0" borderId="0" xfId="0" applyNumberFormat="1" applyFont="1" applyAlignment="1">
      <alignment horizontal="right"/>
    </xf>
    <xf numFmtId="0" fontId="15" fillId="9" borderId="0" xfId="0" applyFont="1" applyFill="1" applyAlignment="1">
      <alignment horizontal="right"/>
    </xf>
    <xf numFmtId="0" fontId="15" fillId="9" borderId="0" xfId="0" applyFont="1" applyFill="1" applyAlignment="1">
      <alignment horizontal="right" wrapText="1"/>
    </xf>
    <xf numFmtId="0" fontId="1" fillId="0" borderId="0" xfId="401" applyAlignment="1">
      <alignment horizontal="right" wrapText="1"/>
    </xf>
    <xf numFmtId="4" fontId="3" fillId="0" borderId="31" xfId="0" applyNumberFormat="1" applyFont="1" applyBorder="1"/>
    <xf numFmtId="4" fontId="3" fillId="0" borderId="32" xfId="0" applyNumberFormat="1" applyFont="1" applyBorder="1"/>
    <xf numFmtId="0" fontId="1" fillId="0" borderId="0" xfId="400" applyAlignment="1">
      <alignment horizontal="right" wrapText="1"/>
    </xf>
    <xf numFmtId="4" fontId="3" fillId="7" borderId="31" xfId="0" applyNumberFormat="1" applyFont="1" applyFill="1" applyBorder="1"/>
    <xf numFmtId="167" fontId="10" fillId="0" borderId="0" xfId="0" applyNumberFormat="1" applyFont="1" applyAlignment="1">
      <alignment horizontal="center" wrapText="1"/>
    </xf>
    <xf numFmtId="10" fontId="10" fillId="0" borderId="0" xfId="0" applyNumberFormat="1" applyFont="1"/>
    <xf numFmtId="10" fontId="10" fillId="0" borderId="0" xfId="0" applyNumberFormat="1" applyFont="1" applyAlignment="1">
      <alignment horizontal="center"/>
    </xf>
    <xf numFmtId="167" fontId="0" fillId="0" borderId="0" xfId="355" applyNumberFormat="1" applyFont="1" applyAlignment="1"/>
    <xf numFmtId="167" fontId="0" fillId="0" borderId="0" xfId="0" applyNumberFormat="1"/>
    <xf numFmtId="167" fontId="0" fillId="13" borderId="0" xfId="355" applyNumberFormat="1" applyFont="1" applyFill="1" applyAlignment="1"/>
    <xf numFmtId="0" fontId="15" fillId="9" borderId="0" xfId="0" applyFont="1" applyFill="1" applyAlignment="1">
      <alignment horizontal="center"/>
    </xf>
    <xf numFmtId="0" fontId="0" fillId="9" borderId="0" xfId="0" applyFill="1"/>
    <xf numFmtId="0" fontId="15" fillId="0" borderId="0" xfId="0" applyFont="1" applyAlignment="1">
      <alignment horizontal="center"/>
    </xf>
    <xf numFmtId="0" fontId="15" fillId="90" borderId="0" xfId="0" applyFont="1" applyFill="1" applyAlignment="1">
      <alignment horizontal="center"/>
    </xf>
    <xf numFmtId="167" fontId="0" fillId="0" borderId="0" xfId="355" applyNumberFormat="1" applyFont="1" applyAlignment="1">
      <alignment horizontal="left"/>
    </xf>
    <xf numFmtId="167" fontId="0" fillId="0" borderId="0" xfId="355" applyNumberFormat="1" applyFont="1" applyFill="1" applyAlignment="1">
      <alignment horizontal="left"/>
    </xf>
    <xf numFmtId="2" fontId="10" fillId="0" borderId="0" xfId="0" applyNumberFormat="1" applyFont="1"/>
    <xf numFmtId="167" fontId="0" fillId="8" borderId="0" xfId="355" applyNumberFormat="1" applyFont="1" applyFill="1" applyAlignment="1">
      <alignment horizontal="left"/>
    </xf>
    <xf numFmtId="0" fontId="15" fillId="9" borderId="0" xfId="0" applyFont="1" applyFill="1"/>
    <xf numFmtId="10" fontId="11" fillId="0" borderId="0" xfId="355" applyNumberFormat="1" applyFont="1" applyFill="1" applyAlignment="1">
      <alignment horizontal="center"/>
    </xf>
    <xf numFmtId="167" fontId="0" fillId="0" borderId="0" xfId="355" applyNumberFormat="1" applyFont="1" applyFill="1" applyAlignment="1"/>
    <xf numFmtId="0" fontId="96" fillId="0" borderId="0" xfId="407"/>
    <xf numFmtId="184" fontId="96" fillId="0" borderId="0" xfId="407" applyNumberFormat="1"/>
    <xf numFmtId="185" fontId="96" fillId="0" borderId="0" xfId="407" applyNumberFormat="1"/>
    <xf numFmtId="0" fontId="2" fillId="0" borderId="0" xfId="152"/>
    <xf numFmtId="0" fontId="15" fillId="9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15" fillId="90" borderId="0" xfId="0" applyFont="1" applyFill="1" applyAlignment="1">
      <alignment horizontal="center"/>
    </xf>
  </cellXfs>
  <cellStyles count="408">
    <cellStyle name="_TableHead" xfId="7" xr:uid="{00000000-0005-0000-0000-000004000000}"/>
    <cellStyle name="]_x000d__x000a_Zoomed=1_x000d__x000a_Row=0_x000d__x000a_Column=0_x000d__x000a_Height=0_x000d__x000a_Width=0_x000d__x000a_FontName=FoxFont_x000d__x000a_FontStyle=0_x000d__x000a_FontSize=9_x000d__x000a_PrtFontName=FoxPrin" xfId="6" xr:uid="{00000000-0005-0000-0000-000003000000}"/>
    <cellStyle name="%" xfId="3" xr:uid="{00000000-0005-0000-0000-000000000000}"/>
    <cellStyle name="% 2" xfId="4" xr:uid="{00000000-0005-0000-0000-000001000000}"/>
    <cellStyle name="%_PEF FSBR2011" xfId="5" xr:uid="{00000000-0005-0000-0000-000002000000}"/>
    <cellStyle name="1dp" xfId="8" xr:uid="{00000000-0005-0000-0000-000005000000}"/>
    <cellStyle name="1dp 2" xfId="9" xr:uid="{00000000-0005-0000-0000-000006000000}"/>
    <cellStyle name="20% - Accent1" xfId="373" builtinId="30" customBuiltin="1"/>
    <cellStyle name="20% - Accent1 2" xfId="10" xr:uid="{00000000-0005-0000-0000-000008000000}"/>
    <cellStyle name="20% - Accent2" xfId="377" builtinId="34" customBuiltin="1"/>
    <cellStyle name="20% - Accent2 2" xfId="11" xr:uid="{00000000-0005-0000-0000-00000A000000}"/>
    <cellStyle name="20% - Accent3" xfId="381" builtinId="38" customBuiltin="1"/>
    <cellStyle name="20% - Accent3 2" xfId="12" xr:uid="{00000000-0005-0000-0000-00000C000000}"/>
    <cellStyle name="20% - Accent4" xfId="385" builtinId="42" customBuiltin="1"/>
    <cellStyle name="20% - Accent4 2" xfId="13" xr:uid="{00000000-0005-0000-0000-00000E000000}"/>
    <cellStyle name="20% - Accent5" xfId="389" builtinId="46" customBuiltin="1"/>
    <cellStyle name="20% - Accent5 2" xfId="14" xr:uid="{00000000-0005-0000-0000-000010000000}"/>
    <cellStyle name="20% - Accent6" xfId="393" builtinId="50" customBuiltin="1"/>
    <cellStyle name="20% - Accent6 2" xfId="15" xr:uid="{00000000-0005-0000-0000-000012000000}"/>
    <cellStyle name="3dp" xfId="16" xr:uid="{00000000-0005-0000-0000-000013000000}"/>
    <cellStyle name="3dp 2" xfId="17" xr:uid="{00000000-0005-0000-0000-000014000000}"/>
    <cellStyle name="40% - Accent1" xfId="374" builtinId="31" customBuiltin="1"/>
    <cellStyle name="40% - Accent1 2" xfId="18" xr:uid="{00000000-0005-0000-0000-000016000000}"/>
    <cellStyle name="40% - Accent2" xfId="378" builtinId="35" customBuiltin="1"/>
    <cellStyle name="40% - Accent2 2" xfId="19" xr:uid="{00000000-0005-0000-0000-000018000000}"/>
    <cellStyle name="40% - Accent3" xfId="382" builtinId="39" customBuiltin="1"/>
    <cellStyle name="40% - Accent3 2" xfId="20" xr:uid="{00000000-0005-0000-0000-00001A000000}"/>
    <cellStyle name="40% - Accent4" xfId="386" builtinId="43" customBuiltin="1"/>
    <cellStyle name="40% - Accent4 2" xfId="21" xr:uid="{00000000-0005-0000-0000-00001C000000}"/>
    <cellStyle name="40% - Accent5" xfId="390" builtinId="47" customBuiltin="1"/>
    <cellStyle name="40% - Accent5 2" xfId="22" xr:uid="{00000000-0005-0000-0000-00001E000000}"/>
    <cellStyle name="40% - Accent6" xfId="394" builtinId="51" customBuiltin="1"/>
    <cellStyle name="40% - Accent6 2" xfId="23" xr:uid="{00000000-0005-0000-0000-000020000000}"/>
    <cellStyle name="4dp" xfId="24" xr:uid="{00000000-0005-0000-0000-000021000000}"/>
    <cellStyle name="4dp 2" xfId="25" xr:uid="{00000000-0005-0000-0000-000022000000}"/>
    <cellStyle name="60% - Accent1" xfId="375" builtinId="32" customBuiltin="1"/>
    <cellStyle name="60% - Accent1 2" xfId="26" xr:uid="{00000000-0005-0000-0000-000024000000}"/>
    <cellStyle name="60% - Accent2" xfId="379" builtinId="36" customBuiltin="1"/>
    <cellStyle name="60% - Accent2 2" xfId="27" xr:uid="{00000000-0005-0000-0000-000026000000}"/>
    <cellStyle name="60% - Accent3" xfId="383" builtinId="40" customBuiltin="1"/>
    <cellStyle name="60% - Accent3 2" xfId="28" xr:uid="{00000000-0005-0000-0000-000028000000}"/>
    <cellStyle name="60% - Accent4" xfId="387" builtinId="44" customBuiltin="1"/>
    <cellStyle name="60% - Accent4 2" xfId="29" xr:uid="{00000000-0005-0000-0000-00002A000000}"/>
    <cellStyle name="60% - Accent5" xfId="391" builtinId="48" customBuiltin="1"/>
    <cellStyle name="60% - Accent5 2" xfId="30" xr:uid="{00000000-0005-0000-0000-00002C000000}"/>
    <cellStyle name="60% - Accent6" xfId="395" builtinId="52" customBuiltin="1"/>
    <cellStyle name="60% - Accent6 2" xfId="31" xr:uid="{00000000-0005-0000-0000-00002E000000}"/>
    <cellStyle name="Accent1" xfId="372" builtinId="29" customBuiltin="1"/>
    <cellStyle name="Accent1 2" xfId="32" xr:uid="{00000000-0005-0000-0000-000030000000}"/>
    <cellStyle name="Accent2" xfId="376" builtinId="33" customBuiltin="1"/>
    <cellStyle name="Accent2 2" xfId="33" xr:uid="{00000000-0005-0000-0000-000032000000}"/>
    <cellStyle name="Accent3" xfId="380" builtinId="37" customBuiltin="1"/>
    <cellStyle name="Accent3 2" xfId="34" xr:uid="{00000000-0005-0000-0000-000034000000}"/>
    <cellStyle name="Accent4" xfId="384" builtinId="41" customBuiltin="1"/>
    <cellStyle name="Accent4 2" xfId="35" xr:uid="{00000000-0005-0000-0000-000036000000}"/>
    <cellStyle name="Accent5" xfId="388" builtinId="45" customBuiltin="1"/>
    <cellStyle name="Accent5 2" xfId="36" xr:uid="{00000000-0005-0000-0000-000038000000}"/>
    <cellStyle name="Accent6" xfId="392" builtinId="49" customBuiltin="1"/>
    <cellStyle name="Accent6 2" xfId="37" xr:uid="{00000000-0005-0000-0000-00003A000000}"/>
    <cellStyle name="Bad" xfId="362" builtinId="27" customBuiltin="1"/>
    <cellStyle name="Bad 2" xfId="38" xr:uid="{00000000-0005-0000-0000-00003C000000}"/>
    <cellStyle name="Bid £m format" xfId="39" xr:uid="{00000000-0005-0000-0000-00003D000000}"/>
    <cellStyle name="Calculation" xfId="366" builtinId="22" customBuiltin="1"/>
    <cellStyle name="Calculation 2" xfId="40" xr:uid="{00000000-0005-0000-0000-00003F000000}"/>
    <cellStyle name="Check Cell" xfId="368" builtinId="23" customBuiltin="1"/>
    <cellStyle name="Check Cell 2" xfId="41" xr:uid="{00000000-0005-0000-0000-000041000000}"/>
    <cellStyle name="CIL" xfId="42" xr:uid="{00000000-0005-0000-0000-000042000000}"/>
    <cellStyle name="CIU" xfId="43" xr:uid="{00000000-0005-0000-0000-000043000000}"/>
    <cellStyle name="Comma [0] 2" xfId="45" xr:uid="{00000000-0005-0000-0000-000044000000}"/>
    <cellStyle name="Comma [0] 3" xfId="46" xr:uid="{00000000-0005-0000-0000-000045000000}"/>
    <cellStyle name="Comma 2" xfId="47" xr:uid="{00000000-0005-0000-0000-000046000000}"/>
    <cellStyle name="Comma 3" xfId="48" xr:uid="{00000000-0005-0000-0000-000047000000}"/>
    <cellStyle name="Comma 3 2" xfId="49" xr:uid="{00000000-0005-0000-0000-000048000000}"/>
    <cellStyle name="Comma 4" xfId="50" xr:uid="{00000000-0005-0000-0000-000049000000}"/>
    <cellStyle name="Comma 5" xfId="51" xr:uid="{00000000-0005-0000-0000-00004A000000}"/>
    <cellStyle name="Comma 6" xfId="44" xr:uid="{00000000-0005-0000-0000-00004B000000}"/>
    <cellStyle name="Comma 7" xfId="353" xr:uid="{00000000-0005-0000-0000-00004C000000}"/>
    <cellStyle name="Currency 2" xfId="52" xr:uid="{00000000-0005-0000-0000-00004D000000}"/>
    <cellStyle name="Currency 3" xfId="405" xr:uid="{00000000-0005-0000-0000-00004E000000}"/>
    <cellStyle name="Description" xfId="53" xr:uid="{00000000-0005-0000-0000-00004F000000}"/>
    <cellStyle name="Euro" xfId="54" xr:uid="{00000000-0005-0000-0000-000050000000}"/>
    <cellStyle name="Explanatory Text" xfId="370" builtinId="53" customBuiltin="1"/>
    <cellStyle name="Explanatory Text 2" xfId="55" xr:uid="{00000000-0005-0000-0000-000052000000}"/>
    <cellStyle name="Flash" xfId="56" xr:uid="{00000000-0005-0000-0000-000053000000}"/>
    <cellStyle name="footnote ref" xfId="57" xr:uid="{00000000-0005-0000-0000-000054000000}"/>
    <cellStyle name="footnote text" xfId="58" xr:uid="{00000000-0005-0000-0000-000055000000}"/>
    <cellStyle name="General" xfId="59" xr:uid="{00000000-0005-0000-0000-000056000000}"/>
    <cellStyle name="General 2" xfId="60" xr:uid="{00000000-0005-0000-0000-000057000000}"/>
    <cellStyle name="Good" xfId="361" builtinId="26" customBuiltin="1"/>
    <cellStyle name="Good 2" xfId="61" xr:uid="{00000000-0005-0000-0000-000059000000}"/>
    <cellStyle name="Grey" xfId="62" xr:uid="{00000000-0005-0000-0000-00005A000000}"/>
    <cellStyle name="HeaderLabel" xfId="63" xr:uid="{00000000-0005-0000-0000-00005B000000}"/>
    <cellStyle name="HeaderText" xfId="64" xr:uid="{00000000-0005-0000-0000-00005C000000}"/>
    <cellStyle name="Heading 1" xfId="357" builtinId="16" customBuiltin="1"/>
    <cellStyle name="Heading 1 2" xfId="65" xr:uid="{00000000-0005-0000-0000-00005E000000}"/>
    <cellStyle name="Heading 1 2 2" xfId="66" xr:uid="{00000000-0005-0000-0000-00005F000000}"/>
    <cellStyle name="Heading 1 2_asset sales" xfId="67" xr:uid="{00000000-0005-0000-0000-000060000000}"/>
    <cellStyle name="Heading 1 3" xfId="68" xr:uid="{00000000-0005-0000-0000-000061000000}"/>
    <cellStyle name="Heading 1 4" xfId="69" xr:uid="{00000000-0005-0000-0000-000062000000}"/>
    <cellStyle name="Heading 2" xfId="358" builtinId="17" customBuiltin="1"/>
    <cellStyle name="Heading 2 2" xfId="70" xr:uid="{00000000-0005-0000-0000-000064000000}"/>
    <cellStyle name="Heading 2 3" xfId="71" xr:uid="{00000000-0005-0000-0000-000065000000}"/>
    <cellStyle name="Heading 3" xfId="359" builtinId="18" customBuiltin="1"/>
    <cellStyle name="Heading 3 2" xfId="72" xr:uid="{00000000-0005-0000-0000-000067000000}"/>
    <cellStyle name="Heading 3 3" xfId="73" xr:uid="{00000000-0005-0000-0000-000068000000}"/>
    <cellStyle name="Heading 4" xfId="360" builtinId="19" customBuiltin="1"/>
    <cellStyle name="Heading 4 2" xfId="74" xr:uid="{00000000-0005-0000-0000-00006A000000}"/>
    <cellStyle name="Heading 4 3" xfId="75" xr:uid="{00000000-0005-0000-0000-00006B000000}"/>
    <cellStyle name="Heading 5" xfId="76" xr:uid="{00000000-0005-0000-0000-00006C000000}"/>
    <cellStyle name="Heading 6" xfId="77" xr:uid="{00000000-0005-0000-0000-00006D000000}"/>
    <cellStyle name="Heading 7" xfId="78" xr:uid="{00000000-0005-0000-0000-00006E000000}"/>
    <cellStyle name="Heading 8" xfId="79" xr:uid="{00000000-0005-0000-0000-00006F000000}"/>
    <cellStyle name="Hyperlink" xfId="1" builtinId="8"/>
    <cellStyle name="Hyperlink 2" xfId="81" xr:uid="{00000000-0005-0000-0000-000071000000}"/>
    <cellStyle name="Hyperlink 2 2" xfId="82" xr:uid="{00000000-0005-0000-0000-000072000000}"/>
    <cellStyle name="Hyperlink 3" xfId="83" xr:uid="{00000000-0005-0000-0000-000073000000}"/>
    <cellStyle name="Hyperlink 4" xfId="84" xr:uid="{00000000-0005-0000-0000-000074000000}"/>
    <cellStyle name="Hyperlink 5" xfId="80" xr:uid="{00000000-0005-0000-0000-000075000000}"/>
    <cellStyle name="Information" xfId="85" xr:uid="{00000000-0005-0000-0000-000076000000}"/>
    <cellStyle name="Input" xfId="364" builtinId="20" customBuiltin="1"/>
    <cellStyle name="Input [yellow]" xfId="86" xr:uid="{00000000-0005-0000-0000-000078000000}"/>
    <cellStyle name="Input 10" xfId="87" xr:uid="{00000000-0005-0000-0000-000079000000}"/>
    <cellStyle name="Input 11" xfId="88" xr:uid="{00000000-0005-0000-0000-00007A000000}"/>
    <cellStyle name="Input 12" xfId="89" xr:uid="{00000000-0005-0000-0000-00007B000000}"/>
    <cellStyle name="Input 13" xfId="90" xr:uid="{00000000-0005-0000-0000-00007C000000}"/>
    <cellStyle name="Input 14" xfId="91" xr:uid="{00000000-0005-0000-0000-00007D000000}"/>
    <cellStyle name="Input 15" xfId="92" xr:uid="{00000000-0005-0000-0000-00007E000000}"/>
    <cellStyle name="Input 16" xfId="93" xr:uid="{00000000-0005-0000-0000-00007F000000}"/>
    <cellStyle name="Input 17" xfId="94" xr:uid="{00000000-0005-0000-0000-000080000000}"/>
    <cellStyle name="Input 18" xfId="95" xr:uid="{00000000-0005-0000-0000-000081000000}"/>
    <cellStyle name="Input 19" xfId="96" xr:uid="{00000000-0005-0000-0000-000082000000}"/>
    <cellStyle name="Input 2" xfId="97" xr:uid="{00000000-0005-0000-0000-000083000000}"/>
    <cellStyle name="Input 3" xfId="98" xr:uid="{00000000-0005-0000-0000-000084000000}"/>
    <cellStyle name="Input 4" xfId="99" xr:uid="{00000000-0005-0000-0000-000085000000}"/>
    <cellStyle name="Input 5" xfId="100" xr:uid="{00000000-0005-0000-0000-000086000000}"/>
    <cellStyle name="Input 6" xfId="101" xr:uid="{00000000-0005-0000-0000-000087000000}"/>
    <cellStyle name="Input 7" xfId="102" xr:uid="{00000000-0005-0000-0000-000088000000}"/>
    <cellStyle name="Input 8" xfId="103" xr:uid="{00000000-0005-0000-0000-000089000000}"/>
    <cellStyle name="Input 9" xfId="104" xr:uid="{00000000-0005-0000-0000-00008A000000}"/>
    <cellStyle name="LabelIntersect" xfId="105" xr:uid="{00000000-0005-0000-0000-00008B000000}"/>
    <cellStyle name="LabelLeft" xfId="106" xr:uid="{00000000-0005-0000-0000-00008C000000}"/>
    <cellStyle name="LabelTop" xfId="107" xr:uid="{00000000-0005-0000-0000-00008D000000}"/>
    <cellStyle name="Linked Cell" xfId="367" builtinId="24" customBuiltin="1"/>
    <cellStyle name="Linked Cell 2" xfId="108" xr:uid="{00000000-0005-0000-0000-00008F000000}"/>
    <cellStyle name="Mik" xfId="109" xr:uid="{00000000-0005-0000-0000-000090000000}"/>
    <cellStyle name="Mik 2" xfId="110" xr:uid="{00000000-0005-0000-0000-000091000000}"/>
    <cellStyle name="Mik_For fiscal tables" xfId="111" xr:uid="{00000000-0005-0000-0000-000092000000}"/>
    <cellStyle name="N" xfId="112" xr:uid="{00000000-0005-0000-0000-000093000000}"/>
    <cellStyle name="N 2" xfId="113" xr:uid="{00000000-0005-0000-0000-000094000000}"/>
    <cellStyle name="Neutral" xfId="363" builtinId="28" customBuiltin="1"/>
    <cellStyle name="Neutral 2" xfId="114" xr:uid="{00000000-0005-0000-0000-000096000000}"/>
    <cellStyle name="Normal" xfId="0" builtinId="0"/>
    <cellStyle name="Normal - Style1" xfId="115" xr:uid="{00000000-0005-0000-0000-000098000000}"/>
    <cellStyle name="Normal - Style2" xfId="116" xr:uid="{00000000-0005-0000-0000-000099000000}"/>
    <cellStyle name="Normal - Style3" xfId="117" xr:uid="{00000000-0005-0000-0000-00009A000000}"/>
    <cellStyle name="Normal - Style4" xfId="118" xr:uid="{00000000-0005-0000-0000-00009B000000}"/>
    <cellStyle name="Normal - Style5" xfId="119" xr:uid="{00000000-0005-0000-0000-00009C000000}"/>
    <cellStyle name="Normal 10" xfId="120" xr:uid="{00000000-0005-0000-0000-00009D000000}"/>
    <cellStyle name="Normal 10 2" xfId="121" xr:uid="{00000000-0005-0000-0000-00009E000000}"/>
    <cellStyle name="Normal 11" xfId="122" xr:uid="{00000000-0005-0000-0000-00009F000000}"/>
    <cellStyle name="Normal 11 10" xfId="123" xr:uid="{00000000-0005-0000-0000-0000A0000000}"/>
    <cellStyle name="Normal 11 11" xfId="124" xr:uid="{00000000-0005-0000-0000-0000A1000000}"/>
    <cellStyle name="Normal 11 2" xfId="125" xr:uid="{00000000-0005-0000-0000-0000A2000000}"/>
    <cellStyle name="Normal 11 3" xfId="126" xr:uid="{00000000-0005-0000-0000-0000A3000000}"/>
    <cellStyle name="Normal 11 4" xfId="127" xr:uid="{00000000-0005-0000-0000-0000A4000000}"/>
    <cellStyle name="Normal 11 5" xfId="128" xr:uid="{00000000-0005-0000-0000-0000A5000000}"/>
    <cellStyle name="Normal 11 6" xfId="129" xr:uid="{00000000-0005-0000-0000-0000A6000000}"/>
    <cellStyle name="Normal 11 7" xfId="130" xr:uid="{00000000-0005-0000-0000-0000A7000000}"/>
    <cellStyle name="Normal 11 8" xfId="131" xr:uid="{00000000-0005-0000-0000-0000A8000000}"/>
    <cellStyle name="Normal 11 9" xfId="132" xr:uid="{00000000-0005-0000-0000-0000A9000000}"/>
    <cellStyle name="Normal 12" xfId="133" xr:uid="{00000000-0005-0000-0000-0000AA000000}"/>
    <cellStyle name="Normal 12 2" xfId="134" xr:uid="{00000000-0005-0000-0000-0000AB000000}"/>
    <cellStyle name="Normal 13" xfId="135" xr:uid="{00000000-0005-0000-0000-0000AC000000}"/>
    <cellStyle name="Normal 13 2" xfId="136" xr:uid="{00000000-0005-0000-0000-0000AD000000}"/>
    <cellStyle name="Normal 14" xfId="137" xr:uid="{00000000-0005-0000-0000-0000AE000000}"/>
    <cellStyle name="Normal 14 2" xfId="138" xr:uid="{00000000-0005-0000-0000-0000AF000000}"/>
    <cellStyle name="Normal 15" xfId="139" xr:uid="{00000000-0005-0000-0000-0000B0000000}"/>
    <cellStyle name="Normal 15 2" xfId="140" xr:uid="{00000000-0005-0000-0000-0000B1000000}"/>
    <cellStyle name="Normal 16" xfId="141" xr:uid="{00000000-0005-0000-0000-0000B2000000}"/>
    <cellStyle name="Normal 16 2" xfId="142" xr:uid="{00000000-0005-0000-0000-0000B3000000}"/>
    <cellStyle name="Normal 16 3" xfId="143" xr:uid="{00000000-0005-0000-0000-0000B4000000}"/>
    <cellStyle name="Normal 17" xfId="144" xr:uid="{00000000-0005-0000-0000-0000B5000000}"/>
    <cellStyle name="Normal 17 2" xfId="145" xr:uid="{00000000-0005-0000-0000-0000B6000000}"/>
    <cellStyle name="Normal 18" xfId="146" xr:uid="{00000000-0005-0000-0000-0000B7000000}"/>
    <cellStyle name="Normal 18 2" xfId="147" xr:uid="{00000000-0005-0000-0000-0000B8000000}"/>
    <cellStyle name="Normal 18 3" xfId="148" xr:uid="{00000000-0005-0000-0000-0000B9000000}"/>
    <cellStyle name="Normal 19" xfId="149" xr:uid="{00000000-0005-0000-0000-0000BA000000}"/>
    <cellStyle name="Normal 19 2" xfId="150" xr:uid="{00000000-0005-0000-0000-0000BB000000}"/>
    <cellStyle name="Normal 19 3" xfId="151" xr:uid="{00000000-0005-0000-0000-0000BC000000}"/>
    <cellStyle name="Normal 2" xfId="152" xr:uid="{00000000-0005-0000-0000-0000BD000000}"/>
    <cellStyle name="Normal 2 2" xfId="153" xr:uid="{00000000-0005-0000-0000-0000BE000000}"/>
    <cellStyle name="Normal 2 2 2" xfId="154" xr:uid="{00000000-0005-0000-0000-0000BF000000}"/>
    <cellStyle name="Normal 2 3" xfId="155" xr:uid="{00000000-0005-0000-0000-0000C0000000}"/>
    <cellStyle name="Normal 20" xfId="156" xr:uid="{00000000-0005-0000-0000-0000C1000000}"/>
    <cellStyle name="Normal 20 2" xfId="157" xr:uid="{00000000-0005-0000-0000-0000C2000000}"/>
    <cellStyle name="Normal 21" xfId="158" xr:uid="{00000000-0005-0000-0000-0000C3000000}"/>
    <cellStyle name="Normal 21 2" xfId="159" xr:uid="{00000000-0005-0000-0000-0000C4000000}"/>
    <cellStyle name="Normal 21 3" xfId="160" xr:uid="{00000000-0005-0000-0000-0000C5000000}"/>
    <cellStyle name="Normal 21_Copy of Fiscal Tables" xfId="161" xr:uid="{00000000-0005-0000-0000-0000C6000000}"/>
    <cellStyle name="Normal 22" xfId="162" xr:uid="{00000000-0005-0000-0000-0000C7000000}"/>
    <cellStyle name="Normal 22 2" xfId="163" xr:uid="{00000000-0005-0000-0000-0000C8000000}"/>
    <cellStyle name="Normal 22 3" xfId="164" xr:uid="{00000000-0005-0000-0000-0000C9000000}"/>
    <cellStyle name="Normal 22_Copy of Fiscal Tables" xfId="165" xr:uid="{00000000-0005-0000-0000-0000CA000000}"/>
    <cellStyle name="Normal 23" xfId="166" xr:uid="{00000000-0005-0000-0000-0000CB000000}"/>
    <cellStyle name="Normal 24" xfId="167" xr:uid="{00000000-0005-0000-0000-0000CC000000}"/>
    <cellStyle name="Normal 25" xfId="168" xr:uid="{00000000-0005-0000-0000-0000CD000000}"/>
    <cellStyle name="Normal 26" xfId="169" xr:uid="{00000000-0005-0000-0000-0000CE000000}"/>
    <cellStyle name="Normal 27" xfId="170" xr:uid="{00000000-0005-0000-0000-0000CF000000}"/>
    <cellStyle name="Normal 28" xfId="171" xr:uid="{00000000-0005-0000-0000-0000D0000000}"/>
    <cellStyle name="Normal 29" xfId="172" xr:uid="{00000000-0005-0000-0000-0000D1000000}"/>
    <cellStyle name="Normal 3" xfId="173" xr:uid="{00000000-0005-0000-0000-0000D2000000}"/>
    <cellStyle name="Normal 3 10" xfId="174" xr:uid="{00000000-0005-0000-0000-0000D3000000}"/>
    <cellStyle name="Normal 3 11" xfId="175" xr:uid="{00000000-0005-0000-0000-0000D4000000}"/>
    <cellStyle name="Normal 3 2" xfId="176" xr:uid="{00000000-0005-0000-0000-0000D5000000}"/>
    <cellStyle name="Normal 3 2 2" xfId="177" xr:uid="{00000000-0005-0000-0000-0000D6000000}"/>
    <cellStyle name="Normal 3 3" xfId="178" xr:uid="{00000000-0005-0000-0000-0000D7000000}"/>
    <cellStyle name="Normal 3 4" xfId="179" xr:uid="{00000000-0005-0000-0000-0000D8000000}"/>
    <cellStyle name="Normal 3 5" xfId="180" xr:uid="{00000000-0005-0000-0000-0000D9000000}"/>
    <cellStyle name="Normal 3 6" xfId="181" xr:uid="{00000000-0005-0000-0000-0000DA000000}"/>
    <cellStyle name="Normal 3 7" xfId="182" xr:uid="{00000000-0005-0000-0000-0000DB000000}"/>
    <cellStyle name="Normal 3 8" xfId="183" xr:uid="{00000000-0005-0000-0000-0000DC000000}"/>
    <cellStyle name="Normal 3 9" xfId="184" xr:uid="{00000000-0005-0000-0000-0000DD000000}"/>
    <cellStyle name="Normal 3_asset sales" xfId="185" xr:uid="{00000000-0005-0000-0000-0000DE000000}"/>
    <cellStyle name="Normal 30" xfId="186" xr:uid="{00000000-0005-0000-0000-0000DF000000}"/>
    <cellStyle name="Normal 31" xfId="187" xr:uid="{00000000-0005-0000-0000-0000E0000000}"/>
    <cellStyle name="Normal 32" xfId="188" xr:uid="{00000000-0005-0000-0000-0000E1000000}"/>
    <cellStyle name="Normal 33" xfId="189" xr:uid="{00000000-0005-0000-0000-0000E2000000}"/>
    <cellStyle name="Normal 34" xfId="190" xr:uid="{00000000-0005-0000-0000-0000E3000000}"/>
    <cellStyle name="Normal 35" xfId="191" xr:uid="{00000000-0005-0000-0000-0000E4000000}"/>
    <cellStyle name="Normal 36" xfId="192" xr:uid="{00000000-0005-0000-0000-0000E5000000}"/>
    <cellStyle name="Normal 37" xfId="193" xr:uid="{00000000-0005-0000-0000-0000E6000000}"/>
    <cellStyle name="Normal 38" xfId="194" xr:uid="{00000000-0005-0000-0000-0000E7000000}"/>
    <cellStyle name="Normal 39" xfId="195" xr:uid="{00000000-0005-0000-0000-0000E8000000}"/>
    <cellStyle name="Normal 4" xfId="196" xr:uid="{00000000-0005-0000-0000-0000E9000000}"/>
    <cellStyle name="Normal 4 2" xfId="197" xr:uid="{00000000-0005-0000-0000-0000EA000000}"/>
    <cellStyle name="Normal 4 3" xfId="198" xr:uid="{00000000-0005-0000-0000-0000EB000000}"/>
    <cellStyle name="Normal 40" xfId="199" xr:uid="{00000000-0005-0000-0000-0000EC000000}"/>
    <cellStyle name="Normal 41" xfId="200" xr:uid="{00000000-0005-0000-0000-0000ED000000}"/>
    <cellStyle name="Normal 42" xfId="201" xr:uid="{00000000-0005-0000-0000-0000EE000000}"/>
    <cellStyle name="Normal 43" xfId="202" xr:uid="{00000000-0005-0000-0000-0000EF000000}"/>
    <cellStyle name="Normal 44" xfId="203" xr:uid="{00000000-0005-0000-0000-0000F0000000}"/>
    <cellStyle name="Normal 45" xfId="204" xr:uid="{00000000-0005-0000-0000-0000F1000000}"/>
    <cellStyle name="Normal 46" xfId="205" xr:uid="{00000000-0005-0000-0000-0000F2000000}"/>
    <cellStyle name="Normal 47" xfId="206" xr:uid="{00000000-0005-0000-0000-0000F3000000}"/>
    <cellStyle name="Normal 48" xfId="207" xr:uid="{00000000-0005-0000-0000-0000F4000000}"/>
    <cellStyle name="Normal 49" xfId="208" xr:uid="{00000000-0005-0000-0000-0000F5000000}"/>
    <cellStyle name="Normal 5" xfId="209" xr:uid="{00000000-0005-0000-0000-0000F6000000}"/>
    <cellStyle name="Normal 5 2" xfId="210" xr:uid="{00000000-0005-0000-0000-0000F7000000}"/>
    <cellStyle name="Normal 5 3" xfId="211" xr:uid="{00000000-0005-0000-0000-0000F8000000}"/>
    <cellStyle name="Normal 50" xfId="2" xr:uid="{00000000-0005-0000-0000-0000F9000000}"/>
    <cellStyle name="Normal 51" xfId="352" xr:uid="{00000000-0005-0000-0000-0000FA000000}"/>
    <cellStyle name="Normal 52" xfId="396" xr:uid="{00000000-0005-0000-0000-0000FB000000}"/>
    <cellStyle name="Normal 53" xfId="402" xr:uid="{00000000-0005-0000-0000-0000FC000000}"/>
    <cellStyle name="Normal 54" xfId="400" xr:uid="{00000000-0005-0000-0000-0000FD000000}"/>
    <cellStyle name="Normal 55" xfId="401" xr:uid="{00000000-0005-0000-0000-0000FE000000}"/>
    <cellStyle name="Normal 56" xfId="404" xr:uid="{00000000-0005-0000-0000-0000FF000000}"/>
    <cellStyle name="Normal 57" xfId="398" xr:uid="{00000000-0005-0000-0000-000000010000}"/>
    <cellStyle name="Normal 58" xfId="397" xr:uid="{00000000-0005-0000-0000-000001010000}"/>
    <cellStyle name="Normal 59" xfId="399" xr:uid="{00000000-0005-0000-0000-000002010000}"/>
    <cellStyle name="Normal 6" xfId="212" xr:uid="{00000000-0005-0000-0000-000003010000}"/>
    <cellStyle name="Normal 6 2" xfId="213" xr:uid="{00000000-0005-0000-0000-000004010000}"/>
    <cellStyle name="Normal 60" xfId="407" xr:uid="{00000000-0005-0000-0000-000005010000}"/>
    <cellStyle name="Normal 7" xfId="214" xr:uid="{00000000-0005-0000-0000-000006010000}"/>
    <cellStyle name="Normal 7 2" xfId="215" xr:uid="{00000000-0005-0000-0000-000007010000}"/>
    <cellStyle name="Normal 8" xfId="216" xr:uid="{00000000-0005-0000-0000-000008010000}"/>
    <cellStyle name="Normal 8 2" xfId="217" xr:uid="{00000000-0005-0000-0000-000009010000}"/>
    <cellStyle name="Normal 9" xfId="218" xr:uid="{00000000-0005-0000-0000-00000A010000}"/>
    <cellStyle name="Normal 9 2" xfId="219" xr:uid="{00000000-0005-0000-0000-00000B010000}"/>
    <cellStyle name="Note 2" xfId="220" xr:uid="{00000000-0005-0000-0000-00000C010000}"/>
    <cellStyle name="Note 2 2" xfId="221" xr:uid="{00000000-0005-0000-0000-00000D010000}"/>
    <cellStyle name="Note 3" xfId="403" xr:uid="{00000000-0005-0000-0000-00000E010000}"/>
    <cellStyle name="Output" xfId="365" builtinId="21" customBuiltin="1"/>
    <cellStyle name="Output 2" xfId="222" xr:uid="{00000000-0005-0000-0000-000010010000}"/>
    <cellStyle name="Output Amounts" xfId="223" xr:uid="{00000000-0005-0000-0000-000011010000}"/>
    <cellStyle name="Output Column Headings" xfId="224" xr:uid="{00000000-0005-0000-0000-000012010000}"/>
    <cellStyle name="Output Line Items" xfId="225" xr:uid="{00000000-0005-0000-0000-000013010000}"/>
    <cellStyle name="Output Report Heading" xfId="226" xr:uid="{00000000-0005-0000-0000-000014010000}"/>
    <cellStyle name="Output Report Title" xfId="227" xr:uid="{00000000-0005-0000-0000-000015010000}"/>
    <cellStyle name="P" xfId="228" xr:uid="{00000000-0005-0000-0000-000016010000}"/>
    <cellStyle name="P 2" xfId="229" xr:uid="{00000000-0005-0000-0000-000017010000}"/>
    <cellStyle name="Percent" xfId="355" builtinId="5"/>
    <cellStyle name="Percent [2]" xfId="231" xr:uid="{00000000-0005-0000-0000-000019010000}"/>
    <cellStyle name="Percent 10" xfId="354" xr:uid="{00000000-0005-0000-0000-00001A010000}"/>
    <cellStyle name="Percent 11" xfId="406" xr:uid="{00000000-0005-0000-0000-00001B010000}"/>
    <cellStyle name="Percent 2" xfId="232" xr:uid="{00000000-0005-0000-0000-00001C010000}"/>
    <cellStyle name="Percent 3" xfId="233" xr:uid="{00000000-0005-0000-0000-00001D010000}"/>
    <cellStyle name="Percent 3 2" xfId="234" xr:uid="{00000000-0005-0000-0000-00001E010000}"/>
    <cellStyle name="Percent 4" xfId="235" xr:uid="{00000000-0005-0000-0000-00001F010000}"/>
    <cellStyle name="Percent 4 2" xfId="236" xr:uid="{00000000-0005-0000-0000-000020010000}"/>
    <cellStyle name="Percent 5" xfId="237" xr:uid="{00000000-0005-0000-0000-000021010000}"/>
    <cellStyle name="Percent 6" xfId="238" xr:uid="{00000000-0005-0000-0000-000022010000}"/>
    <cellStyle name="Percent 7" xfId="239" xr:uid="{00000000-0005-0000-0000-000023010000}"/>
    <cellStyle name="Percent 8" xfId="240" xr:uid="{00000000-0005-0000-0000-000024010000}"/>
    <cellStyle name="Percent 9" xfId="230" xr:uid="{00000000-0005-0000-0000-000025010000}"/>
    <cellStyle name="Refdb standard" xfId="241" xr:uid="{00000000-0005-0000-0000-000026010000}"/>
    <cellStyle name="ReportData" xfId="242" xr:uid="{00000000-0005-0000-0000-000027010000}"/>
    <cellStyle name="ReportElements" xfId="243" xr:uid="{00000000-0005-0000-0000-000028010000}"/>
    <cellStyle name="ReportHeader" xfId="244" xr:uid="{00000000-0005-0000-0000-000029010000}"/>
    <cellStyle name="SAPBEXaggData" xfId="245" xr:uid="{00000000-0005-0000-0000-00002A010000}"/>
    <cellStyle name="SAPBEXaggDataEmph" xfId="246" xr:uid="{00000000-0005-0000-0000-00002B010000}"/>
    <cellStyle name="SAPBEXaggItem" xfId="247" xr:uid="{00000000-0005-0000-0000-00002C010000}"/>
    <cellStyle name="SAPBEXaggItemX" xfId="248" xr:uid="{00000000-0005-0000-0000-00002D010000}"/>
    <cellStyle name="SAPBEXchaText" xfId="249" xr:uid="{00000000-0005-0000-0000-00002E010000}"/>
    <cellStyle name="SAPBEXexcBad7" xfId="250" xr:uid="{00000000-0005-0000-0000-00002F010000}"/>
    <cellStyle name="SAPBEXexcBad8" xfId="251" xr:uid="{00000000-0005-0000-0000-000030010000}"/>
    <cellStyle name="SAPBEXexcBad9" xfId="252" xr:uid="{00000000-0005-0000-0000-000031010000}"/>
    <cellStyle name="SAPBEXexcCritical4" xfId="253" xr:uid="{00000000-0005-0000-0000-000032010000}"/>
    <cellStyle name="SAPBEXexcCritical5" xfId="254" xr:uid="{00000000-0005-0000-0000-000033010000}"/>
    <cellStyle name="SAPBEXexcCritical6" xfId="255" xr:uid="{00000000-0005-0000-0000-000034010000}"/>
    <cellStyle name="SAPBEXexcGood1" xfId="256" xr:uid="{00000000-0005-0000-0000-000035010000}"/>
    <cellStyle name="SAPBEXexcGood2" xfId="257" xr:uid="{00000000-0005-0000-0000-000036010000}"/>
    <cellStyle name="SAPBEXexcGood3" xfId="258" xr:uid="{00000000-0005-0000-0000-000037010000}"/>
    <cellStyle name="SAPBEXfilterDrill" xfId="259" xr:uid="{00000000-0005-0000-0000-000038010000}"/>
    <cellStyle name="SAPBEXfilterItem" xfId="260" xr:uid="{00000000-0005-0000-0000-000039010000}"/>
    <cellStyle name="SAPBEXfilterText" xfId="261" xr:uid="{00000000-0005-0000-0000-00003A010000}"/>
    <cellStyle name="SAPBEXformats" xfId="262" xr:uid="{00000000-0005-0000-0000-00003B010000}"/>
    <cellStyle name="SAPBEXheaderItem" xfId="263" xr:uid="{00000000-0005-0000-0000-00003C010000}"/>
    <cellStyle name="SAPBEXheaderText" xfId="264" xr:uid="{00000000-0005-0000-0000-00003D010000}"/>
    <cellStyle name="SAPBEXHLevel0" xfId="265" xr:uid="{00000000-0005-0000-0000-00003E010000}"/>
    <cellStyle name="SAPBEXHLevel0X" xfId="266" xr:uid="{00000000-0005-0000-0000-00003F010000}"/>
    <cellStyle name="SAPBEXHLevel1" xfId="267" xr:uid="{00000000-0005-0000-0000-000040010000}"/>
    <cellStyle name="SAPBEXHLevel1X" xfId="268" xr:uid="{00000000-0005-0000-0000-000041010000}"/>
    <cellStyle name="SAPBEXHLevel2" xfId="269" xr:uid="{00000000-0005-0000-0000-000042010000}"/>
    <cellStyle name="SAPBEXHLevel2X" xfId="270" xr:uid="{00000000-0005-0000-0000-000043010000}"/>
    <cellStyle name="SAPBEXHLevel3" xfId="271" xr:uid="{00000000-0005-0000-0000-000044010000}"/>
    <cellStyle name="SAPBEXHLevel3X" xfId="272" xr:uid="{00000000-0005-0000-0000-000045010000}"/>
    <cellStyle name="SAPBEXresData" xfId="273" xr:uid="{00000000-0005-0000-0000-000046010000}"/>
    <cellStyle name="SAPBEXresDataEmph" xfId="274" xr:uid="{00000000-0005-0000-0000-000047010000}"/>
    <cellStyle name="SAPBEXresItem" xfId="275" xr:uid="{00000000-0005-0000-0000-000048010000}"/>
    <cellStyle name="SAPBEXresItemX" xfId="276" xr:uid="{00000000-0005-0000-0000-000049010000}"/>
    <cellStyle name="SAPBEXstdData" xfId="277" xr:uid="{00000000-0005-0000-0000-00004A010000}"/>
    <cellStyle name="SAPBEXstdDataEmph" xfId="278" xr:uid="{00000000-0005-0000-0000-00004B010000}"/>
    <cellStyle name="SAPBEXstdItem" xfId="279" xr:uid="{00000000-0005-0000-0000-00004C010000}"/>
    <cellStyle name="SAPBEXstdItemX" xfId="280" xr:uid="{00000000-0005-0000-0000-00004D010000}"/>
    <cellStyle name="SAPBEXtitle" xfId="281" xr:uid="{00000000-0005-0000-0000-00004E010000}"/>
    <cellStyle name="SAPBEXundefined" xfId="282" xr:uid="{00000000-0005-0000-0000-00004F010000}"/>
    <cellStyle name="Style 1" xfId="283" xr:uid="{00000000-0005-0000-0000-000050010000}"/>
    <cellStyle name="Style1" xfId="284" xr:uid="{00000000-0005-0000-0000-000051010000}"/>
    <cellStyle name="Style2" xfId="285" xr:uid="{00000000-0005-0000-0000-000052010000}"/>
    <cellStyle name="Style3" xfId="286" xr:uid="{00000000-0005-0000-0000-000053010000}"/>
    <cellStyle name="Style4" xfId="287" xr:uid="{00000000-0005-0000-0000-000054010000}"/>
    <cellStyle name="Style5" xfId="288" xr:uid="{00000000-0005-0000-0000-000055010000}"/>
    <cellStyle name="Style6" xfId="289" xr:uid="{00000000-0005-0000-0000-000056010000}"/>
    <cellStyle name="Table Footnote" xfId="290" xr:uid="{00000000-0005-0000-0000-000057010000}"/>
    <cellStyle name="Table Footnote 2" xfId="291" xr:uid="{00000000-0005-0000-0000-000058010000}"/>
    <cellStyle name="Table Footnote 2 2" xfId="292" xr:uid="{00000000-0005-0000-0000-000059010000}"/>
    <cellStyle name="Table Footnote_Table 5.6 sales of assets 23Feb2010" xfId="293" xr:uid="{00000000-0005-0000-0000-00005A010000}"/>
    <cellStyle name="Table Header" xfId="294" xr:uid="{00000000-0005-0000-0000-00005B010000}"/>
    <cellStyle name="Table Header 2" xfId="295" xr:uid="{00000000-0005-0000-0000-00005C010000}"/>
    <cellStyle name="Table Header 2 2" xfId="296" xr:uid="{00000000-0005-0000-0000-00005D010000}"/>
    <cellStyle name="Table Header_Table 5.6 sales of assets 23Feb2010" xfId="297" xr:uid="{00000000-0005-0000-0000-00005E010000}"/>
    <cellStyle name="Table Heading 1" xfId="298" xr:uid="{00000000-0005-0000-0000-00005F010000}"/>
    <cellStyle name="Table Heading 1 2" xfId="299" xr:uid="{00000000-0005-0000-0000-000060010000}"/>
    <cellStyle name="Table Heading 1 2 2" xfId="300" xr:uid="{00000000-0005-0000-0000-000061010000}"/>
    <cellStyle name="Table Heading 1_Table 5.6 sales of assets 23Feb2010" xfId="301" xr:uid="{00000000-0005-0000-0000-000062010000}"/>
    <cellStyle name="Table Heading 2" xfId="302" xr:uid="{00000000-0005-0000-0000-000063010000}"/>
    <cellStyle name="Table Heading 2 2" xfId="303" xr:uid="{00000000-0005-0000-0000-000064010000}"/>
    <cellStyle name="Table Heading 2_Table 5.6 sales of assets 23Feb2010" xfId="304" xr:uid="{00000000-0005-0000-0000-000065010000}"/>
    <cellStyle name="Table Of Which" xfId="305" xr:uid="{00000000-0005-0000-0000-000066010000}"/>
    <cellStyle name="Table Of Which 2" xfId="306" xr:uid="{00000000-0005-0000-0000-000067010000}"/>
    <cellStyle name="Table Of Which_Table 5.6 sales of assets 23Feb2010" xfId="307" xr:uid="{00000000-0005-0000-0000-000068010000}"/>
    <cellStyle name="Table Row Billions" xfId="308" xr:uid="{00000000-0005-0000-0000-000069010000}"/>
    <cellStyle name="Table Row Billions 2" xfId="309" xr:uid="{00000000-0005-0000-0000-00006A010000}"/>
    <cellStyle name="Table Row Billions Check" xfId="310" xr:uid="{00000000-0005-0000-0000-00006B010000}"/>
    <cellStyle name="Table Row Billions Check 2" xfId="311" xr:uid="{00000000-0005-0000-0000-00006C010000}"/>
    <cellStyle name="Table Row Billions Check 3" xfId="312" xr:uid="{00000000-0005-0000-0000-00006D010000}"/>
    <cellStyle name="Table Row Billions Check_asset sales" xfId="313" xr:uid="{00000000-0005-0000-0000-00006E010000}"/>
    <cellStyle name="Table Row Billions_Table 5.6 sales of assets 23Feb2010" xfId="314" xr:uid="{00000000-0005-0000-0000-00006F010000}"/>
    <cellStyle name="Table Row Millions" xfId="315" xr:uid="{00000000-0005-0000-0000-000070010000}"/>
    <cellStyle name="Table Row Millions 2" xfId="316" xr:uid="{00000000-0005-0000-0000-000071010000}"/>
    <cellStyle name="Table Row Millions 2 2" xfId="317" xr:uid="{00000000-0005-0000-0000-000072010000}"/>
    <cellStyle name="Table Row Millions Check" xfId="318" xr:uid="{00000000-0005-0000-0000-000073010000}"/>
    <cellStyle name="Table Row Millions Check 2" xfId="319" xr:uid="{00000000-0005-0000-0000-000074010000}"/>
    <cellStyle name="Table Row Millions Check 3" xfId="320" xr:uid="{00000000-0005-0000-0000-000075010000}"/>
    <cellStyle name="Table Row Millions Check 4" xfId="321" xr:uid="{00000000-0005-0000-0000-000076010000}"/>
    <cellStyle name="Table Row Millions Check_asset sales" xfId="322" xr:uid="{00000000-0005-0000-0000-000077010000}"/>
    <cellStyle name="Table Row Millions_Table 5.6 sales of assets 23Feb2010" xfId="323" xr:uid="{00000000-0005-0000-0000-000078010000}"/>
    <cellStyle name="Table Row Percentage" xfId="324" xr:uid="{00000000-0005-0000-0000-000079010000}"/>
    <cellStyle name="Table Row Percentage 2" xfId="325" xr:uid="{00000000-0005-0000-0000-00007A010000}"/>
    <cellStyle name="Table Row Percentage Check" xfId="326" xr:uid="{00000000-0005-0000-0000-00007B010000}"/>
    <cellStyle name="Table Row Percentage Check 2" xfId="327" xr:uid="{00000000-0005-0000-0000-00007C010000}"/>
    <cellStyle name="Table Row Percentage Check 3" xfId="328" xr:uid="{00000000-0005-0000-0000-00007D010000}"/>
    <cellStyle name="Table Row Percentage Check_asset sales" xfId="329" xr:uid="{00000000-0005-0000-0000-00007E010000}"/>
    <cellStyle name="Table Row Percentage_Table 5.6 sales of assets 23Feb2010" xfId="330" xr:uid="{00000000-0005-0000-0000-00007F010000}"/>
    <cellStyle name="Table Total Billions" xfId="331" xr:uid="{00000000-0005-0000-0000-000080010000}"/>
    <cellStyle name="Table Total Billions 2" xfId="332" xr:uid="{00000000-0005-0000-0000-000081010000}"/>
    <cellStyle name="Table Total Billions_Table 5.6 sales of assets 23Feb2010" xfId="333" xr:uid="{00000000-0005-0000-0000-000082010000}"/>
    <cellStyle name="Table Total Millions" xfId="334" xr:uid="{00000000-0005-0000-0000-000083010000}"/>
    <cellStyle name="Table Total Millions 2" xfId="335" xr:uid="{00000000-0005-0000-0000-000084010000}"/>
    <cellStyle name="Table Total Millions 2 2" xfId="336" xr:uid="{00000000-0005-0000-0000-000085010000}"/>
    <cellStyle name="Table Total Millions_Table 5.6 sales of assets 23Feb2010" xfId="337" xr:uid="{00000000-0005-0000-0000-000086010000}"/>
    <cellStyle name="Table Total Percentage" xfId="338" xr:uid="{00000000-0005-0000-0000-000087010000}"/>
    <cellStyle name="Table Total Percentage 2" xfId="339" xr:uid="{00000000-0005-0000-0000-000088010000}"/>
    <cellStyle name="Table Total Percentage_Table 5.6 sales of assets 23Feb2010" xfId="340" xr:uid="{00000000-0005-0000-0000-000089010000}"/>
    <cellStyle name="Table Units" xfId="341" xr:uid="{00000000-0005-0000-0000-00008A010000}"/>
    <cellStyle name="Table Units 2" xfId="342" xr:uid="{00000000-0005-0000-0000-00008B010000}"/>
    <cellStyle name="Table Units 2 2" xfId="343" xr:uid="{00000000-0005-0000-0000-00008C010000}"/>
    <cellStyle name="Table Units_Table 5.6 sales of assets 23Feb2010" xfId="344" xr:uid="{00000000-0005-0000-0000-00008D010000}"/>
    <cellStyle name="Times New Roman" xfId="345" xr:uid="{00000000-0005-0000-0000-00008E010000}"/>
    <cellStyle name="Title" xfId="356" builtinId="15" customBuiltin="1"/>
    <cellStyle name="Title 2" xfId="346" xr:uid="{00000000-0005-0000-0000-000090010000}"/>
    <cellStyle name="Title 3" xfId="347" xr:uid="{00000000-0005-0000-0000-000091010000}"/>
    <cellStyle name="Title 4" xfId="348" xr:uid="{00000000-0005-0000-0000-000092010000}"/>
    <cellStyle name="Total" xfId="371" builtinId="25" customBuiltin="1"/>
    <cellStyle name="Total 2" xfId="349" xr:uid="{00000000-0005-0000-0000-000094010000}"/>
    <cellStyle name="Warning Text" xfId="369" builtinId="11" customBuiltin="1"/>
    <cellStyle name="Warning Text 2" xfId="350" xr:uid="{00000000-0005-0000-0000-000096010000}"/>
    <cellStyle name="whole number" xfId="351" xr:uid="{00000000-0005-0000-0000-000097010000}"/>
  </cellStyles>
  <dxfs count="1">
    <dxf>
      <fill>
        <patternFill patternType="solid">
          <fgColor rgb="FFB7E1CD"/>
          <bgColor rgb="FFB7E1CD"/>
        </patternFill>
      </fill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'Res, Cap, Agg, Pro Costs'!$A$1</c:f>
              <c:strCache>
                <c:ptCount val="1"/>
                <c:pt idx="0">
                  <c:v>Operating reserve Costs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8"/>
            <c:spPr>
              <a:solidFill>
                <a:schemeClr val="bg1"/>
              </a:solidFill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'Res, Cap, Agg, Pro Costs'!$B$3:$B$130</c:f>
              <c:numCache>
                <c:formatCode>0.0%</c:formatCode>
                <c:ptCount val="128"/>
                <c:pt idx="0">
                  <c:v>0.4</c:v>
                </c:pt>
                <c:pt idx="1">
                  <c:v>0.8</c:v>
                </c:pt>
                <c:pt idx="2">
                  <c:v>0.04</c:v>
                </c:pt>
                <c:pt idx="3">
                  <c:v>0.08</c:v>
                </c:pt>
                <c:pt idx="4">
                  <c:v>0.12</c:v>
                </c:pt>
                <c:pt idx="5">
                  <c:v>0.16</c:v>
                </c:pt>
                <c:pt idx="6">
                  <c:v>0.2</c:v>
                </c:pt>
                <c:pt idx="7">
                  <c:v>0.04</c:v>
                </c:pt>
                <c:pt idx="8">
                  <c:v>0.08</c:v>
                </c:pt>
                <c:pt idx="9">
                  <c:v>0.12</c:v>
                </c:pt>
                <c:pt idx="10">
                  <c:v>0.16</c:v>
                </c:pt>
                <c:pt idx="11">
                  <c:v>0.2</c:v>
                </c:pt>
                <c:pt idx="12">
                  <c:v>0.33</c:v>
                </c:pt>
                <c:pt idx="13">
                  <c:v>0.05</c:v>
                </c:pt>
                <c:pt idx="14">
                  <c:v>0.1</c:v>
                </c:pt>
                <c:pt idx="15">
                  <c:v>0.15</c:v>
                </c:pt>
                <c:pt idx="16">
                  <c:v>0.2</c:v>
                </c:pt>
                <c:pt idx="17">
                  <c:v>0.25</c:v>
                </c:pt>
                <c:pt idx="18">
                  <c:v>0.3</c:v>
                </c:pt>
                <c:pt idx="19">
                  <c:v>0.35</c:v>
                </c:pt>
                <c:pt idx="20">
                  <c:v>0.4</c:v>
                </c:pt>
                <c:pt idx="39">
                  <c:v>0.27100000000000002</c:v>
                </c:pt>
                <c:pt idx="40">
                  <c:v>0.32600000000000001</c:v>
                </c:pt>
                <c:pt idx="41">
                  <c:v>0.41699999999999998</c:v>
                </c:pt>
                <c:pt idx="42">
                  <c:v>0.05</c:v>
                </c:pt>
                <c:pt idx="43">
                  <c:v>0.1</c:v>
                </c:pt>
                <c:pt idx="44">
                  <c:v>0.15</c:v>
                </c:pt>
                <c:pt idx="45">
                  <c:v>0.2</c:v>
                </c:pt>
                <c:pt idx="46">
                  <c:v>5.2999999999999999E-2</c:v>
                </c:pt>
                <c:pt idx="47">
                  <c:v>7.5999999999999998E-2</c:v>
                </c:pt>
                <c:pt idx="48">
                  <c:v>0.15</c:v>
                </c:pt>
                <c:pt idx="49">
                  <c:v>0.2</c:v>
                </c:pt>
                <c:pt idx="50">
                  <c:v>0.25</c:v>
                </c:pt>
                <c:pt idx="51">
                  <c:v>0.02</c:v>
                </c:pt>
                <c:pt idx="52">
                  <c:v>0.15</c:v>
                </c:pt>
                <c:pt idx="53">
                  <c:v>5.2999999999999999E-2</c:v>
                </c:pt>
                <c:pt idx="54">
                  <c:v>7.4999999999999997E-2</c:v>
                </c:pt>
                <c:pt idx="55">
                  <c:v>0.2</c:v>
                </c:pt>
                <c:pt idx="56">
                  <c:v>0.3</c:v>
                </c:pt>
                <c:pt idx="57">
                  <c:v>0.1</c:v>
                </c:pt>
                <c:pt idx="58">
                  <c:v>0.3</c:v>
                </c:pt>
                <c:pt idx="59">
                  <c:v>0.1</c:v>
                </c:pt>
                <c:pt idx="60">
                  <c:v>0.3</c:v>
                </c:pt>
                <c:pt idx="61">
                  <c:v>0.1</c:v>
                </c:pt>
                <c:pt idx="62">
                  <c:v>0.3</c:v>
                </c:pt>
                <c:pt idx="63">
                  <c:v>0.1</c:v>
                </c:pt>
                <c:pt idx="64">
                  <c:v>0.3</c:v>
                </c:pt>
                <c:pt idx="65">
                  <c:v>0.1</c:v>
                </c:pt>
                <c:pt idx="66">
                  <c:v>0.3</c:v>
                </c:pt>
                <c:pt idx="67">
                  <c:v>0.1</c:v>
                </c:pt>
                <c:pt idx="68">
                  <c:v>0.3</c:v>
                </c:pt>
                <c:pt idx="69">
                  <c:v>0.1</c:v>
                </c:pt>
                <c:pt idx="70">
                  <c:v>0.3</c:v>
                </c:pt>
                <c:pt idx="71">
                  <c:v>0.1</c:v>
                </c:pt>
                <c:pt idx="72">
                  <c:v>0.3</c:v>
                </c:pt>
                <c:pt idx="73">
                  <c:v>0.1</c:v>
                </c:pt>
                <c:pt idx="74">
                  <c:v>0.3</c:v>
                </c:pt>
                <c:pt idx="75">
                  <c:v>0.1</c:v>
                </c:pt>
                <c:pt idx="76">
                  <c:v>0.3</c:v>
                </c:pt>
                <c:pt idx="77">
                  <c:v>0.1</c:v>
                </c:pt>
                <c:pt idx="78">
                  <c:v>0.3</c:v>
                </c:pt>
                <c:pt idx="79">
                  <c:v>0.1</c:v>
                </c:pt>
                <c:pt idx="80">
                  <c:v>0.3</c:v>
                </c:pt>
                <c:pt idx="81">
                  <c:v>0.1</c:v>
                </c:pt>
                <c:pt idx="82">
                  <c:v>0.3</c:v>
                </c:pt>
                <c:pt idx="83">
                  <c:v>0.1</c:v>
                </c:pt>
                <c:pt idx="84">
                  <c:v>0.3</c:v>
                </c:pt>
                <c:pt idx="85">
                  <c:v>0.1</c:v>
                </c:pt>
                <c:pt idx="86">
                  <c:v>0.3</c:v>
                </c:pt>
                <c:pt idx="87">
                  <c:v>0.1</c:v>
                </c:pt>
                <c:pt idx="88">
                  <c:v>0.3</c:v>
                </c:pt>
                <c:pt idx="89">
                  <c:v>0.1</c:v>
                </c:pt>
                <c:pt idx="90">
                  <c:v>0.3</c:v>
                </c:pt>
                <c:pt idx="91">
                  <c:v>0.1</c:v>
                </c:pt>
                <c:pt idx="92">
                  <c:v>0.3</c:v>
                </c:pt>
                <c:pt idx="93">
                  <c:v>0.05</c:v>
                </c:pt>
                <c:pt idx="94">
                  <c:v>0.1</c:v>
                </c:pt>
                <c:pt idx="95">
                  <c:v>0.15</c:v>
                </c:pt>
                <c:pt idx="96">
                  <c:v>0.2</c:v>
                </c:pt>
                <c:pt idx="97">
                  <c:v>5.3999999999999999E-2</c:v>
                </c:pt>
                <c:pt idx="98">
                  <c:v>7.4999999999999997E-2</c:v>
                </c:pt>
                <c:pt idx="99">
                  <c:v>0.15</c:v>
                </c:pt>
                <c:pt idx="100">
                  <c:v>0.2</c:v>
                </c:pt>
                <c:pt idx="101">
                  <c:v>0.25</c:v>
                </c:pt>
                <c:pt idx="102">
                  <c:v>0.02</c:v>
                </c:pt>
                <c:pt idx="103">
                  <c:v>0.105</c:v>
                </c:pt>
                <c:pt idx="104">
                  <c:v>0.105</c:v>
                </c:pt>
                <c:pt idx="105">
                  <c:v>0.28299999999999997</c:v>
                </c:pt>
                <c:pt idx="106">
                  <c:v>0.28299999999999997</c:v>
                </c:pt>
                <c:pt idx="107">
                  <c:v>0.112</c:v>
                </c:pt>
                <c:pt idx="108">
                  <c:v>0.224</c:v>
                </c:pt>
                <c:pt idx="109">
                  <c:v>9.7000000000000003E-2</c:v>
                </c:pt>
                <c:pt idx="110">
                  <c:v>0.19600000000000001</c:v>
                </c:pt>
                <c:pt idx="111">
                  <c:v>9.7000000000000003E-2</c:v>
                </c:pt>
                <c:pt idx="112">
                  <c:v>0.19600000000000001</c:v>
                </c:pt>
                <c:pt idx="113">
                  <c:v>0.35</c:v>
                </c:pt>
                <c:pt idx="114">
                  <c:v>0.35</c:v>
                </c:pt>
                <c:pt idx="115">
                  <c:v>0.19</c:v>
                </c:pt>
                <c:pt idx="116">
                  <c:v>0.19</c:v>
                </c:pt>
                <c:pt idx="117">
                  <c:v>0.25</c:v>
                </c:pt>
                <c:pt idx="118">
                  <c:v>0.25</c:v>
                </c:pt>
                <c:pt idx="119">
                  <c:v>0.2</c:v>
                </c:pt>
                <c:pt idx="120">
                  <c:v>0.25</c:v>
                </c:pt>
                <c:pt idx="121">
                  <c:v>0.2</c:v>
                </c:pt>
                <c:pt idx="122">
                  <c:v>0.2</c:v>
                </c:pt>
                <c:pt idx="123">
                  <c:v>0.08</c:v>
                </c:pt>
                <c:pt idx="124">
                  <c:v>1.2500000000000001E-2</c:v>
                </c:pt>
                <c:pt idx="125">
                  <c:v>2.5000000000000001E-2</c:v>
                </c:pt>
                <c:pt idx="126">
                  <c:v>0.05</c:v>
                </c:pt>
                <c:pt idx="127">
                  <c:v>0.1</c:v>
                </c:pt>
              </c:numCache>
            </c:numRef>
          </c:xVal>
          <c:yVal>
            <c:numRef>
              <c:f>'Res, Cap, Agg, Pro Costs'!$C$3:$C$130</c:f>
              <c:numCache>
                <c:formatCode>0.00</c:formatCode>
                <c:ptCount val="128"/>
                <c:pt idx="0">
                  <c:v>26.232571521528278</c:v>
                </c:pt>
                <c:pt idx="1">
                  <c:v>17.657364715604523</c:v>
                </c:pt>
                <c:pt idx="2">
                  <c:v>3.4407372879399885E-2</c:v>
                </c:pt>
                <c:pt idx="3">
                  <c:v>0.13762949151759954</c:v>
                </c:pt>
                <c:pt idx="4">
                  <c:v>0.2580552965954992</c:v>
                </c:pt>
                <c:pt idx="5">
                  <c:v>0.37848110167339882</c:v>
                </c:pt>
                <c:pt idx="6">
                  <c:v>0.51611059319099839</c:v>
                </c:pt>
                <c:pt idx="7">
                  <c:v>8.6018432198499722E-2</c:v>
                </c:pt>
                <c:pt idx="8">
                  <c:v>0.2580552965954992</c:v>
                </c:pt>
                <c:pt idx="9">
                  <c:v>0.46449953387189852</c:v>
                </c:pt>
                <c:pt idx="10">
                  <c:v>0.70535114402769761</c:v>
                </c:pt>
                <c:pt idx="11">
                  <c:v>0.94620275418349697</c:v>
                </c:pt>
                <c:pt idx="12">
                  <c:v>20.232619430179959</c:v>
                </c:pt>
                <c:pt idx="13">
                  <c:v>3.3665374484769277</c:v>
                </c:pt>
                <c:pt idx="14">
                  <c:v>4.1415381522066959</c:v>
                </c:pt>
                <c:pt idx="15">
                  <c:v>4.2235488086860364</c:v>
                </c:pt>
                <c:pt idx="16">
                  <c:v>4.2368755403639291</c:v>
                </c:pt>
                <c:pt idx="17">
                  <c:v>4.6633309540564998</c:v>
                </c:pt>
                <c:pt idx="18">
                  <c:v>5.0200773097416311</c:v>
                </c:pt>
                <c:pt idx="19">
                  <c:v>4.9001367246405962</c:v>
                </c:pt>
                <c:pt idx="20">
                  <c:v>5.3891252638986629</c:v>
                </c:pt>
                <c:pt idx="39">
                  <c:v>6.4308535070140289</c:v>
                </c:pt>
                <c:pt idx="40">
                  <c:v>7.5741163527054107</c:v>
                </c:pt>
                <c:pt idx="41">
                  <c:v>9.2890106212424861</c:v>
                </c:pt>
                <c:pt idx="42">
                  <c:v>1.5737845882482637</c:v>
                </c:pt>
                <c:pt idx="43">
                  <c:v>2.6979164369970237</c:v>
                </c:pt>
                <c:pt idx="44">
                  <c:v>3.2599823613714038</c:v>
                </c:pt>
                <c:pt idx="45">
                  <c:v>3.8220482857457836</c:v>
                </c:pt>
                <c:pt idx="46">
                  <c:v>3.1475691764965275</c:v>
                </c:pt>
                <c:pt idx="47">
                  <c:v>4.2717010252452878</c:v>
                </c:pt>
                <c:pt idx="48">
                  <c:v>2.5855032521221477</c:v>
                </c:pt>
                <c:pt idx="49">
                  <c:v>3.4848087311211557</c:v>
                </c:pt>
                <c:pt idx="50">
                  <c:v>3.8220482857457836</c:v>
                </c:pt>
                <c:pt idx="51">
                  <c:v>0.33723955462462796</c:v>
                </c:pt>
                <c:pt idx="52">
                  <c:v>4.305559465165377</c:v>
                </c:pt>
                <c:pt idx="53">
                  <c:v>2.8703729767769177</c:v>
                </c:pt>
                <c:pt idx="54">
                  <c:v>3.8955061827686741</c:v>
                </c:pt>
                <c:pt idx="55">
                  <c:v>4.5105861063637285</c:v>
                </c:pt>
                <c:pt idx="56">
                  <c:v>5.5357193123554849</c:v>
                </c:pt>
                <c:pt idx="57">
                  <c:v>2.186791235265336</c:v>
                </c:pt>
                <c:pt idx="58">
                  <c:v>4.2925902025578822</c:v>
                </c:pt>
                <c:pt idx="59">
                  <c:v>2.186791235265336</c:v>
                </c:pt>
                <c:pt idx="60">
                  <c:v>4.2925902025578822</c:v>
                </c:pt>
                <c:pt idx="61">
                  <c:v>2.186791235265336</c:v>
                </c:pt>
                <c:pt idx="62">
                  <c:v>4.2925902025578822</c:v>
                </c:pt>
                <c:pt idx="63">
                  <c:v>1.5388530914830143</c:v>
                </c:pt>
                <c:pt idx="64">
                  <c:v>4.0577126254367899</c:v>
                </c:pt>
                <c:pt idx="65">
                  <c:v>1.5388530914830143</c:v>
                </c:pt>
                <c:pt idx="66">
                  <c:v>4.0577126254367899</c:v>
                </c:pt>
                <c:pt idx="67">
                  <c:v>1.5388530914830143</c:v>
                </c:pt>
                <c:pt idx="68">
                  <c:v>4.0577126254367899</c:v>
                </c:pt>
                <c:pt idx="69">
                  <c:v>2.6727448431020773</c:v>
                </c:pt>
                <c:pt idx="70">
                  <c:v>5.1916043770558531</c:v>
                </c:pt>
                <c:pt idx="71">
                  <c:v>2.6727448431020773</c:v>
                </c:pt>
                <c:pt idx="72">
                  <c:v>5.1916043770558531</c:v>
                </c:pt>
                <c:pt idx="73">
                  <c:v>2.6727448431020773</c:v>
                </c:pt>
                <c:pt idx="74">
                  <c:v>5.1916043770558531</c:v>
                </c:pt>
                <c:pt idx="75">
                  <c:v>6.1797100463238941</c:v>
                </c:pt>
                <c:pt idx="76">
                  <c:v>11.460405918149815</c:v>
                </c:pt>
                <c:pt idx="77">
                  <c:v>6.1797100463238941</c:v>
                </c:pt>
                <c:pt idx="78">
                  <c:v>11.460405918149815</c:v>
                </c:pt>
                <c:pt idx="79">
                  <c:v>6.1797100463238941</c:v>
                </c:pt>
                <c:pt idx="80">
                  <c:v>11.460405918149815</c:v>
                </c:pt>
                <c:pt idx="81">
                  <c:v>6.1797100463238941</c:v>
                </c:pt>
                <c:pt idx="82">
                  <c:v>11.460405918149815</c:v>
                </c:pt>
                <c:pt idx="83">
                  <c:v>6.1797100463238941</c:v>
                </c:pt>
                <c:pt idx="84">
                  <c:v>11.460405918149815</c:v>
                </c:pt>
                <c:pt idx="85">
                  <c:v>6.1797100463238941</c:v>
                </c:pt>
                <c:pt idx="86">
                  <c:v>11.460405918149815</c:v>
                </c:pt>
                <c:pt idx="87">
                  <c:v>1.6198453594558044</c:v>
                </c:pt>
                <c:pt idx="88">
                  <c:v>4.0496133986395106</c:v>
                </c:pt>
                <c:pt idx="89">
                  <c:v>1.6198453594558044</c:v>
                </c:pt>
                <c:pt idx="90">
                  <c:v>4.0496133986395106</c:v>
                </c:pt>
                <c:pt idx="91">
                  <c:v>1.6198453594558044</c:v>
                </c:pt>
                <c:pt idx="92">
                  <c:v>4.0496133986395106</c:v>
                </c:pt>
                <c:pt idx="93">
                  <c:v>1.4953179009112811</c:v>
                </c:pt>
                <c:pt idx="94">
                  <c:v>2.5099979051010792</c:v>
                </c:pt>
                <c:pt idx="95">
                  <c:v>3.1401675919136904</c:v>
                </c:pt>
                <c:pt idx="96">
                  <c:v>3.5674012778883419</c:v>
                </c:pt>
                <c:pt idx="97">
                  <c:v>3.0333591704200273</c:v>
                </c:pt>
                <c:pt idx="98">
                  <c:v>4.0694008589085584</c:v>
                </c:pt>
                <c:pt idx="99">
                  <c:v>2.4672745365036142</c:v>
                </c:pt>
                <c:pt idx="100">
                  <c:v>3.3003802241541846</c:v>
                </c:pt>
                <c:pt idx="101">
                  <c:v>3.6208054886351739</c:v>
                </c:pt>
                <c:pt idx="102">
                  <c:v>0.36314863307845402</c:v>
                </c:pt>
                <c:pt idx="103">
                  <c:v>2.8945082224782657</c:v>
                </c:pt>
                <c:pt idx="104">
                  <c:v>2.5527212736985443</c:v>
                </c:pt>
                <c:pt idx="105">
                  <c:v>2.1254875877238923</c:v>
                </c:pt>
                <c:pt idx="106">
                  <c:v>1.1535309521315598</c:v>
                </c:pt>
                <c:pt idx="107">
                  <c:v>0.51268042316958207</c:v>
                </c:pt>
                <c:pt idx="108">
                  <c:v>0.89719074054676873</c:v>
                </c:pt>
                <c:pt idx="109">
                  <c:v>0.41655284382528551</c:v>
                </c:pt>
                <c:pt idx="110">
                  <c:v>0.34178694877972143</c:v>
                </c:pt>
                <c:pt idx="111">
                  <c:v>0.59812716036451252</c:v>
                </c:pt>
                <c:pt idx="112">
                  <c:v>0.87582905624803609</c:v>
                </c:pt>
                <c:pt idx="113">
                  <c:v>2.6428509719222459</c:v>
                </c:pt>
                <c:pt idx="114">
                  <c:v>6.3868898488120944</c:v>
                </c:pt>
                <c:pt idx="115">
                  <c:v>2.9732073434125272</c:v>
                </c:pt>
                <c:pt idx="116">
                  <c:v>5.2857019438444919</c:v>
                </c:pt>
                <c:pt idx="117">
                  <c:v>-0.11011879049676027</c:v>
                </c:pt>
                <c:pt idx="118">
                  <c:v>0.22023758099352053</c:v>
                </c:pt>
                <c:pt idx="119">
                  <c:v>3.7440388768898485</c:v>
                </c:pt>
                <c:pt idx="120">
                  <c:v>0.55059395248380127</c:v>
                </c:pt>
                <c:pt idx="121">
                  <c:v>1.1011879049676025</c:v>
                </c:pt>
                <c:pt idx="122">
                  <c:v>4.6249892008639311</c:v>
                </c:pt>
                <c:pt idx="123">
                  <c:v>2.422613390928726</c:v>
                </c:pt>
                <c:pt idx="124">
                  <c:v>0.22023758099352053</c:v>
                </c:pt>
                <c:pt idx="125">
                  <c:v>0.35238012958963283</c:v>
                </c:pt>
                <c:pt idx="126">
                  <c:v>0.61666522678185753</c:v>
                </c:pt>
                <c:pt idx="127">
                  <c:v>1.1342235421166307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E8-2242-81F7-2F20F398CF90}"/>
            </c:ext>
          </c:extLst>
        </c:ser>
        <c:ser>
          <c:idx val="1"/>
          <c:order val="1"/>
          <c:tx>
            <c:strRef>
              <c:f>'Res, Cap, Agg, Pro Costs'!$F$1</c:f>
              <c:strCache>
                <c:ptCount val="1"/>
                <c:pt idx="0">
                  <c:v>Capacity Costs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bg1"/>
              </a:solidFill>
              <a:ln w="19050">
                <a:solidFill>
                  <a:srgbClr val="00B0F0"/>
                </a:solidFill>
              </a:ln>
              <a:effectLst/>
            </c:spPr>
          </c:marker>
          <c:dPt>
            <c:idx val="266"/>
            <c:marker>
              <c:symbol val="circle"/>
              <c:size val="6"/>
            </c:marker>
            <c:bubble3D val="0"/>
            <c:extLst>
              <c:ext xmlns:c16="http://schemas.microsoft.com/office/drawing/2014/chart" uri="{C3380CC4-5D6E-409C-BE32-E72D297353CC}">
                <c16:uniqueId val="{00000001-06E8-2242-81F7-2F20F398CF90}"/>
              </c:ext>
            </c:extLst>
          </c:dPt>
          <c:xVal>
            <c:numRef>
              <c:f>'Res, Cap, Agg, Pro Costs'!$G$3:$G$291</c:f>
              <c:numCache>
                <c:formatCode>0.0%</c:formatCode>
                <c:ptCount val="289"/>
                <c:pt idx="0">
                  <c:v>0.2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0.02</c:v>
                </c:pt>
                <c:pt idx="11">
                  <c:v>0.04</c:v>
                </c:pt>
                <c:pt idx="12">
                  <c:v>0.06</c:v>
                </c:pt>
                <c:pt idx="13">
                  <c:v>0.08</c:v>
                </c:pt>
                <c:pt idx="14">
                  <c:v>0.1</c:v>
                </c:pt>
                <c:pt idx="15">
                  <c:v>0.12</c:v>
                </c:pt>
                <c:pt idx="16">
                  <c:v>0.14000000000000001</c:v>
                </c:pt>
                <c:pt idx="17">
                  <c:v>0.16</c:v>
                </c:pt>
                <c:pt idx="18">
                  <c:v>0.18</c:v>
                </c:pt>
                <c:pt idx="19">
                  <c:v>0.02</c:v>
                </c:pt>
                <c:pt idx="20">
                  <c:v>0.04</c:v>
                </c:pt>
                <c:pt idx="21">
                  <c:v>0.06</c:v>
                </c:pt>
                <c:pt idx="22">
                  <c:v>0.08</c:v>
                </c:pt>
                <c:pt idx="23">
                  <c:v>0.1</c:v>
                </c:pt>
                <c:pt idx="24">
                  <c:v>0.12</c:v>
                </c:pt>
                <c:pt idx="25">
                  <c:v>0.14000000000000001</c:v>
                </c:pt>
                <c:pt idx="26">
                  <c:v>0.16</c:v>
                </c:pt>
                <c:pt idx="27">
                  <c:v>0.18</c:v>
                </c:pt>
                <c:pt idx="28">
                  <c:v>0.02</c:v>
                </c:pt>
                <c:pt idx="29">
                  <c:v>0.04</c:v>
                </c:pt>
                <c:pt idx="30">
                  <c:v>0.06</c:v>
                </c:pt>
                <c:pt idx="31">
                  <c:v>0.08</c:v>
                </c:pt>
                <c:pt idx="32">
                  <c:v>0.1</c:v>
                </c:pt>
                <c:pt idx="33">
                  <c:v>0.12</c:v>
                </c:pt>
                <c:pt idx="34">
                  <c:v>0.14000000000000001</c:v>
                </c:pt>
                <c:pt idx="35">
                  <c:v>0.16</c:v>
                </c:pt>
                <c:pt idx="36">
                  <c:v>0.18</c:v>
                </c:pt>
                <c:pt idx="37">
                  <c:v>0.02</c:v>
                </c:pt>
                <c:pt idx="38">
                  <c:v>0.04</c:v>
                </c:pt>
                <c:pt idx="39">
                  <c:v>0.06</c:v>
                </c:pt>
                <c:pt idx="40">
                  <c:v>0.08</c:v>
                </c:pt>
                <c:pt idx="41">
                  <c:v>0.1</c:v>
                </c:pt>
                <c:pt idx="42">
                  <c:v>0.12</c:v>
                </c:pt>
                <c:pt idx="43">
                  <c:v>0.14000000000000001</c:v>
                </c:pt>
                <c:pt idx="44">
                  <c:v>0.16</c:v>
                </c:pt>
                <c:pt idx="45">
                  <c:v>0.18</c:v>
                </c:pt>
                <c:pt idx="46">
                  <c:v>0.02</c:v>
                </c:pt>
                <c:pt idx="47">
                  <c:v>0.04</c:v>
                </c:pt>
                <c:pt idx="48">
                  <c:v>0.06</c:v>
                </c:pt>
                <c:pt idx="49">
                  <c:v>0.08</c:v>
                </c:pt>
                <c:pt idx="50">
                  <c:v>0.1</c:v>
                </c:pt>
                <c:pt idx="51">
                  <c:v>0.12</c:v>
                </c:pt>
                <c:pt idx="52">
                  <c:v>0.14000000000000001</c:v>
                </c:pt>
                <c:pt idx="53">
                  <c:v>0.16</c:v>
                </c:pt>
                <c:pt idx="54">
                  <c:v>0.18</c:v>
                </c:pt>
                <c:pt idx="55">
                  <c:v>0.02</c:v>
                </c:pt>
                <c:pt idx="56">
                  <c:v>0.04</c:v>
                </c:pt>
                <c:pt idx="57">
                  <c:v>0.06</c:v>
                </c:pt>
                <c:pt idx="58">
                  <c:v>0.08</c:v>
                </c:pt>
                <c:pt idx="59">
                  <c:v>0.1</c:v>
                </c:pt>
                <c:pt idx="60">
                  <c:v>0.12</c:v>
                </c:pt>
                <c:pt idx="61">
                  <c:v>0.14000000000000001</c:v>
                </c:pt>
                <c:pt idx="62">
                  <c:v>0.16</c:v>
                </c:pt>
                <c:pt idx="63">
                  <c:v>0.18</c:v>
                </c:pt>
                <c:pt idx="64">
                  <c:v>0.02</c:v>
                </c:pt>
                <c:pt idx="65">
                  <c:v>0.04</c:v>
                </c:pt>
                <c:pt idx="66">
                  <c:v>0.06</c:v>
                </c:pt>
                <c:pt idx="67">
                  <c:v>0.08</c:v>
                </c:pt>
                <c:pt idx="68">
                  <c:v>0.1</c:v>
                </c:pt>
                <c:pt idx="69">
                  <c:v>0.12</c:v>
                </c:pt>
                <c:pt idx="70">
                  <c:v>0.14000000000000001</c:v>
                </c:pt>
                <c:pt idx="71">
                  <c:v>0.16</c:v>
                </c:pt>
                <c:pt idx="72">
                  <c:v>0.18</c:v>
                </c:pt>
                <c:pt idx="73">
                  <c:v>0.02</c:v>
                </c:pt>
                <c:pt idx="74">
                  <c:v>0.04</c:v>
                </c:pt>
                <c:pt idx="75">
                  <c:v>0.06</c:v>
                </c:pt>
                <c:pt idx="76">
                  <c:v>0.08</c:v>
                </c:pt>
                <c:pt idx="77">
                  <c:v>0.1</c:v>
                </c:pt>
                <c:pt idx="78">
                  <c:v>0.12</c:v>
                </c:pt>
                <c:pt idx="79">
                  <c:v>0.14000000000000001</c:v>
                </c:pt>
                <c:pt idx="80">
                  <c:v>0.16</c:v>
                </c:pt>
                <c:pt idx="81">
                  <c:v>0.18</c:v>
                </c:pt>
                <c:pt idx="82">
                  <c:v>0.02</c:v>
                </c:pt>
                <c:pt idx="83">
                  <c:v>0.04</c:v>
                </c:pt>
                <c:pt idx="84">
                  <c:v>0.06</c:v>
                </c:pt>
                <c:pt idx="85">
                  <c:v>0.08</c:v>
                </c:pt>
                <c:pt idx="86">
                  <c:v>0.1</c:v>
                </c:pt>
                <c:pt idx="87">
                  <c:v>0.12</c:v>
                </c:pt>
                <c:pt idx="88">
                  <c:v>0.14000000000000001</c:v>
                </c:pt>
                <c:pt idx="89">
                  <c:v>0.16</c:v>
                </c:pt>
                <c:pt idx="90">
                  <c:v>0.18</c:v>
                </c:pt>
                <c:pt idx="91">
                  <c:v>0.02</c:v>
                </c:pt>
                <c:pt idx="92">
                  <c:v>0.04</c:v>
                </c:pt>
                <c:pt idx="93">
                  <c:v>0.06</c:v>
                </c:pt>
                <c:pt idx="94">
                  <c:v>0.08</c:v>
                </c:pt>
                <c:pt idx="95">
                  <c:v>0.1</c:v>
                </c:pt>
                <c:pt idx="96">
                  <c:v>0.12</c:v>
                </c:pt>
                <c:pt idx="97">
                  <c:v>0.14000000000000001</c:v>
                </c:pt>
                <c:pt idx="98">
                  <c:v>0.16</c:v>
                </c:pt>
                <c:pt idx="99">
                  <c:v>0.18</c:v>
                </c:pt>
                <c:pt idx="100">
                  <c:v>0.02</c:v>
                </c:pt>
                <c:pt idx="101">
                  <c:v>0.04</c:v>
                </c:pt>
                <c:pt idx="102">
                  <c:v>0.06</c:v>
                </c:pt>
                <c:pt idx="103">
                  <c:v>0.08</c:v>
                </c:pt>
                <c:pt idx="104">
                  <c:v>0.1</c:v>
                </c:pt>
                <c:pt idx="105">
                  <c:v>0.12</c:v>
                </c:pt>
                <c:pt idx="106">
                  <c:v>0.14000000000000001</c:v>
                </c:pt>
                <c:pt idx="107">
                  <c:v>0.16</c:v>
                </c:pt>
                <c:pt idx="108">
                  <c:v>0.18</c:v>
                </c:pt>
                <c:pt idx="109">
                  <c:v>0.02</c:v>
                </c:pt>
                <c:pt idx="110">
                  <c:v>0.04</c:v>
                </c:pt>
                <c:pt idx="111">
                  <c:v>0.06</c:v>
                </c:pt>
                <c:pt idx="112">
                  <c:v>0.08</c:v>
                </c:pt>
                <c:pt idx="113">
                  <c:v>0.1</c:v>
                </c:pt>
                <c:pt idx="114">
                  <c:v>0.12</c:v>
                </c:pt>
                <c:pt idx="115">
                  <c:v>0.14000000000000001</c:v>
                </c:pt>
                <c:pt idx="116">
                  <c:v>0.16</c:v>
                </c:pt>
                <c:pt idx="117">
                  <c:v>0.18</c:v>
                </c:pt>
                <c:pt idx="118">
                  <c:v>0.02</c:v>
                </c:pt>
                <c:pt idx="119">
                  <c:v>0.04</c:v>
                </c:pt>
                <c:pt idx="120">
                  <c:v>0.06</c:v>
                </c:pt>
                <c:pt idx="121">
                  <c:v>0.08</c:v>
                </c:pt>
                <c:pt idx="122">
                  <c:v>0.1</c:v>
                </c:pt>
                <c:pt idx="123">
                  <c:v>0.12</c:v>
                </c:pt>
                <c:pt idx="124">
                  <c:v>0.14000000000000001</c:v>
                </c:pt>
                <c:pt idx="125">
                  <c:v>0.16</c:v>
                </c:pt>
                <c:pt idx="126">
                  <c:v>0.18</c:v>
                </c:pt>
                <c:pt idx="127">
                  <c:v>0.02</c:v>
                </c:pt>
                <c:pt idx="128">
                  <c:v>0.04</c:v>
                </c:pt>
                <c:pt idx="129">
                  <c:v>0.06</c:v>
                </c:pt>
                <c:pt idx="130">
                  <c:v>0.08</c:v>
                </c:pt>
                <c:pt idx="131">
                  <c:v>0.1</c:v>
                </c:pt>
                <c:pt idx="132">
                  <c:v>0.12</c:v>
                </c:pt>
                <c:pt idx="133">
                  <c:v>0.14000000000000001</c:v>
                </c:pt>
                <c:pt idx="134">
                  <c:v>0.16</c:v>
                </c:pt>
                <c:pt idx="135">
                  <c:v>0.18</c:v>
                </c:pt>
                <c:pt idx="136">
                  <c:v>0.02</c:v>
                </c:pt>
                <c:pt idx="137">
                  <c:v>0.04</c:v>
                </c:pt>
                <c:pt idx="138">
                  <c:v>0.06</c:v>
                </c:pt>
                <c:pt idx="139">
                  <c:v>0.08</c:v>
                </c:pt>
                <c:pt idx="140">
                  <c:v>0.1</c:v>
                </c:pt>
                <c:pt idx="141">
                  <c:v>0.12</c:v>
                </c:pt>
                <c:pt idx="142">
                  <c:v>0.14000000000000001</c:v>
                </c:pt>
                <c:pt idx="143">
                  <c:v>0.16</c:v>
                </c:pt>
                <c:pt idx="144">
                  <c:v>0.18</c:v>
                </c:pt>
                <c:pt idx="145">
                  <c:v>0.02</c:v>
                </c:pt>
                <c:pt idx="146">
                  <c:v>0.04</c:v>
                </c:pt>
                <c:pt idx="147">
                  <c:v>0.06</c:v>
                </c:pt>
                <c:pt idx="148">
                  <c:v>0.08</c:v>
                </c:pt>
                <c:pt idx="149">
                  <c:v>0.1</c:v>
                </c:pt>
                <c:pt idx="150">
                  <c:v>0.12</c:v>
                </c:pt>
                <c:pt idx="151">
                  <c:v>0.14000000000000001</c:v>
                </c:pt>
                <c:pt idx="152">
                  <c:v>0.16</c:v>
                </c:pt>
                <c:pt idx="153">
                  <c:v>0.18</c:v>
                </c:pt>
                <c:pt idx="154">
                  <c:v>0.02</c:v>
                </c:pt>
                <c:pt idx="155">
                  <c:v>0.04</c:v>
                </c:pt>
                <c:pt idx="156">
                  <c:v>0.06</c:v>
                </c:pt>
                <c:pt idx="157">
                  <c:v>0.08</c:v>
                </c:pt>
                <c:pt idx="158">
                  <c:v>0.1</c:v>
                </c:pt>
                <c:pt idx="159">
                  <c:v>0.12</c:v>
                </c:pt>
                <c:pt idx="160">
                  <c:v>0.14000000000000001</c:v>
                </c:pt>
                <c:pt idx="161">
                  <c:v>0.16</c:v>
                </c:pt>
                <c:pt idx="162">
                  <c:v>0.18</c:v>
                </c:pt>
                <c:pt idx="163">
                  <c:v>0.02</c:v>
                </c:pt>
                <c:pt idx="164">
                  <c:v>0.04</c:v>
                </c:pt>
                <c:pt idx="165">
                  <c:v>0.06</c:v>
                </c:pt>
                <c:pt idx="166">
                  <c:v>0.08</c:v>
                </c:pt>
                <c:pt idx="167">
                  <c:v>0.1</c:v>
                </c:pt>
                <c:pt idx="168">
                  <c:v>0.12</c:v>
                </c:pt>
                <c:pt idx="169">
                  <c:v>0.14000000000000001</c:v>
                </c:pt>
                <c:pt idx="170">
                  <c:v>0.16</c:v>
                </c:pt>
                <c:pt idx="171">
                  <c:v>0.18</c:v>
                </c:pt>
                <c:pt idx="172">
                  <c:v>0.02</c:v>
                </c:pt>
                <c:pt idx="173">
                  <c:v>0.04</c:v>
                </c:pt>
                <c:pt idx="174">
                  <c:v>0.06</c:v>
                </c:pt>
                <c:pt idx="175">
                  <c:v>0.08</c:v>
                </c:pt>
                <c:pt idx="176">
                  <c:v>0.1</c:v>
                </c:pt>
                <c:pt idx="177">
                  <c:v>0.12</c:v>
                </c:pt>
                <c:pt idx="178">
                  <c:v>0.14000000000000001</c:v>
                </c:pt>
                <c:pt idx="179">
                  <c:v>0.16</c:v>
                </c:pt>
                <c:pt idx="180">
                  <c:v>0.18</c:v>
                </c:pt>
                <c:pt idx="181">
                  <c:v>0.02</c:v>
                </c:pt>
                <c:pt idx="182">
                  <c:v>0.04</c:v>
                </c:pt>
                <c:pt idx="183">
                  <c:v>0.06</c:v>
                </c:pt>
                <c:pt idx="184">
                  <c:v>0.08</c:v>
                </c:pt>
                <c:pt idx="185">
                  <c:v>0.1</c:v>
                </c:pt>
                <c:pt idx="186">
                  <c:v>0.12</c:v>
                </c:pt>
                <c:pt idx="187">
                  <c:v>0.14000000000000001</c:v>
                </c:pt>
                <c:pt idx="188">
                  <c:v>0.16</c:v>
                </c:pt>
                <c:pt idx="189">
                  <c:v>0.18</c:v>
                </c:pt>
                <c:pt idx="190">
                  <c:v>0.02</c:v>
                </c:pt>
                <c:pt idx="191">
                  <c:v>0.04</c:v>
                </c:pt>
                <c:pt idx="192">
                  <c:v>0.06</c:v>
                </c:pt>
                <c:pt idx="193">
                  <c:v>0.08</c:v>
                </c:pt>
                <c:pt idx="194">
                  <c:v>0.1</c:v>
                </c:pt>
                <c:pt idx="195">
                  <c:v>0.12</c:v>
                </c:pt>
                <c:pt idx="196">
                  <c:v>0.14000000000000001</c:v>
                </c:pt>
                <c:pt idx="197">
                  <c:v>0.16</c:v>
                </c:pt>
                <c:pt idx="198">
                  <c:v>0.18</c:v>
                </c:pt>
                <c:pt idx="199">
                  <c:v>0.02</c:v>
                </c:pt>
                <c:pt idx="200">
                  <c:v>0.04</c:v>
                </c:pt>
                <c:pt idx="201">
                  <c:v>0.06</c:v>
                </c:pt>
                <c:pt idx="202">
                  <c:v>0.08</c:v>
                </c:pt>
                <c:pt idx="203">
                  <c:v>0.1</c:v>
                </c:pt>
                <c:pt idx="204">
                  <c:v>0.12</c:v>
                </c:pt>
                <c:pt idx="205">
                  <c:v>0.14000000000000001</c:v>
                </c:pt>
                <c:pt idx="206">
                  <c:v>0.16</c:v>
                </c:pt>
                <c:pt idx="207">
                  <c:v>0.18</c:v>
                </c:pt>
                <c:pt idx="208">
                  <c:v>0.02</c:v>
                </c:pt>
                <c:pt idx="209">
                  <c:v>0.04</c:v>
                </c:pt>
                <c:pt idx="210">
                  <c:v>0.06</c:v>
                </c:pt>
                <c:pt idx="211">
                  <c:v>0.08</c:v>
                </c:pt>
                <c:pt idx="212">
                  <c:v>0.1</c:v>
                </c:pt>
                <c:pt idx="213">
                  <c:v>0.12</c:v>
                </c:pt>
                <c:pt idx="214">
                  <c:v>0.14000000000000001</c:v>
                </c:pt>
                <c:pt idx="215">
                  <c:v>0.16</c:v>
                </c:pt>
                <c:pt idx="216">
                  <c:v>0.18</c:v>
                </c:pt>
                <c:pt idx="235">
                  <c:v>0.27100000000000002</c:v>
                </c:pt>
                <c:pt idx="236">
                  <c:v>0.32600000000000001</c:v>
                </c:pt>
                <c:pt idx="237">
                  <c:v>0.41699999999999998</c:v>
                </c:pt>
                <c:pt idx="238">
                  <c:v>0.1</c:v>
                </c:pt>
                <c:pt idx="239">
                  <c:v>0.3</c:v>
                </c:pt>
                <c:pt idx="240">
                  <c:v>0.1</c:v>
                </c:pt>
                <c:pt idx="241">
                  <c:v>0.3</c:v>
                </c:pt>
                <c:pt idx="242">
                  <c:v>0.1</c:v>
                </c:pt>
                <c:pt idx="243">
                  <c:v>0.3</c:v>
                </c:pt>
                <c:pt idx="244">
                  <c:v>0.1</c:v>
                </c:pt>
                <c:pt idx="245">
                  <c:v>0.3</c:v>
                </c:pt>
                <c:pt idx="246">
                  <c:v>0.1</c:v>
                </c:pt>
                <c:pt idx="247">
                  <c:v>0.3</c:v>
                </c:pt>
                <c:pt idx="248">
                  <c:v>0.1</c:v>
                </c:pt>
                <c:pt idx="249">
                  <c:v>0.3</c:v>
                </c:pt>
                <c:pt idx="250">
                  <c:v>0.1</c:v>
                </c:pt>
                <c:pt idx="251">
                  <c:v>0.3</c:v>
                </c:pt>
                <c:pt idx="252">
                  <c:v>0.1</c:v>
                </c:pt>
                <c:pt idx="253">
                  <c:v>0.3</c:v>
                </c:pt>
                <c:pt idx="254">
                  <c:v>0.1</c:v>
                </c:pt>
                <c:pt idx="255">
                  <c:v>0.3</c:v>
                </c:pt>
                <c:pt idx="256">
                  <c:v>0.1</c:v>
                </c:pt>
                <c:pt idx="257">
                  <c:v>0.3</c:v>
                </c:pt>
                <c:pt idx="258">
                  <c:v>0.1</c:v>
                </c:pt>
                <c:pt idx="259">
                  <c:v>0.3</c:v>
                </c:pt>
                <c:pt idx="260">
                  <c:v>0.1</c:v>
                </c:pt>
                <c:pt idx="261">
                  <c:v>0.3</c:v>
                </c:pt>
                <c:pt idx="262">
                  <c:v>0.1</c:v>
                </c:pt>
                <c:pt idx="263">
                  <c:v>0.3</c:v>
                </c:pt>
                <c:pt idx="264">
                  <c:v>0.1</c:v>
                </c:pt>
                <c:pt idx="265">
                  <c:v>0.3</c:v>
                </c:pt>
                <c:pt idx="266">
                  <c:v>0.1</c:v>
                </c:pt>
                <c:pt idx="267">
                  <c:v>0.3</c:v>
                </c:pt>
                <c:pt idx="268">
                  <c:v>0.1</c:v>
                </c:pt>
                <c:pt idx="269">
                  <c:v>0.3</c:v>
                </c:pt>
                <c:pt idx="270">
                  <c:v>0.1</c:v>
                </c:pt>
                <c:pt idx="271">
                  <c:v>0.3</c:v>
                </c:pt>
                <c:pt idx="272">
                  <c:v>0.1</c:v>
                </c:pt>
                <c:pt idx="273">
                  <c:v>0.3</c:v>
                </c:pt>
                <c:pt idx="274">
                  <c:v>0.05</c:v>
                </c:pt>
                <c:pt idx="275">
                  <c:v>0.1</c:v>
                </c:pt>
                <c:pt idx="276">
                  <c:v>0.15</c:v>
                </c:pt>
                <c:pt idx="277">
                  <c:v>0.2</c:v>
                </c:pt>
                <c:pt idx="278">
                  <c:v>0.25</c:v>
                </c:pt>
                <c:pt idx="279">
                  <c:v>0.3</c:v>
                </c:pt>
                <c:pt idx="280">
                  <c:v>0.35</c:v>
                </c:pt>
                <c:pt idx="281">
                  <c:v>0.4</c:v>
                </c:pt>
                <c:pt idx="282">
                  <c:v>0.05</c:v>
                </c:pt>
                <c:pt idx="283">
                  <c:v>0.1</c:v>
                </c:pt>
                <c:pt idx="284">
                  <c:v>0.15</c:v>
                </c:pt>
                <c:pt idx="285">
                  <c:v>0.2</c:v>
                </c:pt>
                <c:pt idx="286">
                  <c:v>0.25</c:v>
                </c:pt>
                <c:pt idx="287">
                  <c:v>1</c:v>
                </c:pt>
                <c:pt idx="288">
                  <c:v>1</c:v>
                </c:pt>
              </c:numCache>
            </c:numRef>
          </c:xVal>
          <c:yVal>
            <c:numRef>
              <c:f>'Res, Cap, Agg, Pro Costs'!$H$3:$H$291</c:f>
              <c:numCache>
                <c:formatCode>0.00</c:formatCode>
                <c:ptCount val="289"/>
                <c:pt idx="0">
                  <c:v>0.92899906774379704</c:v>
                </c:pt>
                <c:pt idx="1">
                  <c:v>6.1507992359505383</c:v>
                </c:pt>
                <c:pt idx="2">
                  <c:v>8.5086056097315783</c:v>
                </c:pt>
                <c:pt idx="3">
                  <c:v>10.866411983512617</c:v>
                </c:pt>
                <c:pt idx="4">
                  <c:v>11.99405851010355</c:v>
                </c:pt>
                <c:pt idx="5">
                  <c:v>12.609138433698604</c:v>
                </c:pt>
                <c:pt idx="6">
                  <c:v>13.121705036694483</c:v>
                </c:pt>
                <c:pt idx="7">
                  <c:v>13.531758319091184</c:v>
                </c:pt>
                <c:pt idx="8">
                  <c:v>13.736784960289537</c:v>
                </c:pt>
                <c:pt idx="9">
                  <c:v>13.941811601487887</c:v>
                </c:pt>
                <c:pt idx="10">
                  <c:v>6.1507992359505383</c:v>
                </c:pt>
                <c:pt idx="11">
                  <c:v>8.5086056097315783</c:v>
                </c:pt>
                <c:pt idx="12">
                  <c:v>10.558872021715091</c:v>
                </c:pt>
                <c:pt idx="13">
                  <c:v>10.558872021715091</c:v>
                </c:pt>
                <c:pt idx="14">
                  <c:v>11.276465265909319</c:v>
                </c:pt>
                <c:pt idx="15">
                  <c:v>11.686518548306024</c:v>
                </c:pt>
                <c:pt idx="16">
                  <c:v>12.096571830702727</c:v>
                </c:pt>
                <c:pt idx="17">
                  <c:v>12.301598471901077</c:v>
                </c:pt>
                <c:pt idx="18">
                  <c:v>12.506625113099426</c:v>
                </c:pt>
                <c:pt idx="19">
                  <c:v>9.2261988539258084</c:v>
                </c:pt>
                <c:pt idx="20">
                  <c:v>9.2261988539258084</c:v>
                </c:pt>
                <c:pt idx="21">
                  <c:v>10.763898662913443</c:v>
                </c:pt>
                <c:pt idx="22">
                  <c:v>11.584005227706848</c:v>
                </c:pt>
                <c:pt idx="23">
                  <c:v>12.096571830702727</c:v>
                </c:pt>
                <c:pt idx="24">
                  <c:v>12.404111792500252</c:v>
                </c:pt>
                <c:pt idx="25">
                  <c:v>12.71165175429778</c:v>
                </c:pt>
                <c:pt idx="26">
                  <c:v>12.814165074896955</c:v>
                </c:pt>
                <c:pt idx="27">
                  <c:v>13.019191716095305</c:v>
                </c:pt>
                <c:pt idx="28">
                  <c:v>8.4060922891324008</c:v>
                </c:pt>
                <c:pt idx="29">
                  <c:v>8.4060922891324008</c:v>
                </c:pt>
                <c:pt idx="30">
                  <c:v>10.046305418719214</c:v>
                </c:pt>
                <c:pt idx="31">
                  <c:v>10.046305418719214</c:v>
                </c:pt>
                <c:pt idx="32">
                  <c:v>10.046305418719214</c:v>
                </c:pt>
                <c:pt idx="33">
                  <c:v>10.046305418719214</c:v>
                </c:pt>
                <c:pt idx="34">
                  <c:v>10.456358701115914</c:v>
                </c:pt>
                <c:pt idx="35">
                  <c:v>10.866411983512617</c:v>
                </c:pt>
                <c:pt idx="36">
                  <c:v>11.07143862471097</c:v>
                </c:pt>
                <c:pt idx="37">
                  <c:v>10.866411983512617</c:v>
                </c:pt>
                <c:pt idx="38">
                  <c:v>10.866411983512617</c:v>
                </c:pt>
                <c:pt idx="39">
                  <c:v>10.866411983512617</c:v>
                </c:pt>
                <c:pt idx="40">
                  <c:v>11.789031868905198</c:v>
                </c:pt>
                <c:pt idx="41">
                  <c:v>12.404111792500252</c:v>
                </c:pt>
                <c:pt idx="42">
                  <c:v>12.71165175429778</c:v>
                </c:pt>
                <c:pt idx="43">
                  <c:v>13.019191716095305</c:v>
                </c:pt>
                <c:pt idx="44">
                  <c:v>13.224218357293658</c:v>
                </c:pt>
                <c:pt idx="45">
                  <c:v>13.429244998492008</c:v>
                </c:pt>
                <c:pt idx="46">
                  <c:v>10.046305418719214</c:v>
                </c:pt>
                <c:pt idx="47">
                  <c:v>10.046305418719214</c:v>
                </c:pt>
                <c:pt idx="48">
                  <c:v>10.046305418719214</c:v>
                </c:pt>
                <c:pt idx="49">
                  <c:v>11.07143862471097</c:v>
                </c:pt>
                <c:pt idx="50">
                  <c:v>11.07143862471097</c:v>
                </c:pt>
                <c:pt idx="51">
                  <c:v>11.07143862471097</c:v>
                </c:pt>
                <c:pt idx="52">
                  <c:v>11.07143862471097</c:v>
                </c:pt>
                <c:pt idx="53">
                  <c:v>11.07143862471097</c:v>
                </c:pt>
                <c:pt idx="54">
                  <c:v>11.378978586508495</c:v>
                </c:pt>
                <c:pt idx="55">
                  <c:v>14.761918166281292</c:v>
                </c:pt>
                <c:pt idx="56">
                  <c:v>14.761918166281292</c:v>
                </c:pt>
                <c:pt idx="57">
                  <c:v>14.761918166281292</c:v>
                </c:pt>
                <c:pt idx="58">
                  <c:v>14.761918166281292</c:v>
                </c:pt>
                <c:pt idx="59">
                  <c:v>14.761918166281292</c:v>
                </c:pt>
                <c:pt idx="60">
                  <c:v>14.761918166281292</c:v>
                </c:pt>
                <c:pt idx="61">
                  <c:v>14.761918166281292</c:v>
                </c:pt>
                <c:pt idx="62">
                  <c:v>14.761918166281292</c:v>
                </c:pt>
                <c:pt idx="63">
                  <c:v>14.761918166281292</c:v>
                </c:pt>
                <c:pt idx="64">
                  <c:v>9.021172212727457</c:v>
                </c:pt>
                <c:pt idx="65">
                  <c:v>9.021172212727457</c:v>
                </c:pt>
                <c:pt idx="66">
                  <c:v>9.021172212727457</c:v>
                </c:pt>
                <c:pt idx="67">
                  <c:v>9.021172212727457</c:v>
                </c:pt>
                <c:pt idx="68">
                  <c:v>9.5337388157233356</c:v>
                </c:pt>
                <c:pt idx="69">
                  <c:v>9.5337388157233356</c:v>
                </c:pt>
                <c:pt idx="70">
                  <c:v>9.5337388157233356</c:v>
                </c:pt>
                <c:pt idx="71">
                  <c:v>9.9437920981200367</c:v>
                </c:pt>
                <c:pt idx="72">
                  <c:v>10.251332059917564</c:v>
                </c:pt>
                <c:pt idx="73">
                  <c:v>12.814165074896955</c:v>
                </c:pt>
                <c:pt idx="74">
                  <c:v>12.814165074896955</c:v>
                </c:pt>
                <c:pt idx="75">
                  <c:v>12.814165074896955</c:v>
                </c:pt>
                <c:pt idx="76">
                  <c:v>12.814165074896955</c:v>
                </c:pt>
                <c:pt idx="77">
                  <c:v>12.814165074896955</c:v>
                </c:pt>
                <c:pt idx="78">
                  <c:v>13.121705036694483</c:v>
                </c:pt>
                <c:pt idx="79">
                  <c:v>13.224218357293658</c:v>
                </c:pt>
                <c:pt idx="80">
                  <c:v>13.326731677892834</c:v>
                </c:pt>
                <c:pt idx="81">
                  <c:v>13.326731677892834</c:v>
                </c:pt>
                <c:pt idx="82">
                  <c:v>6.7658791595455918</c:v>
                </c:pt>
                <c:pt idx="83">
                  <c:v>6.7658791595455918</c:v>
                </c:pt>
                <c:pt idx="84">
                  <c:v>6.7658791595455918</c:v>
                </c:pt>
                <c:pt idx="85">
                  <c:v>8.3035789685332269</c:v>
                </c:pt>
                <c:pt idx="86">
                  <c:v>8.3035789685332269</c:v>
                </c:pt>
                <c:pt idx="87">
                  <c:v>8.3035789685332269</c:v>
                </c:pt>
                <c:pt idx="88">
                  <c:v>8.3035789685332269</c:v>
                </c:pt>
                <c:pt idx="89">
                  <c:v>8.3035789685332269</c:v>
                </c:pt>
                <c:pt idx="90">
                  <c:v>8.3035789685332269</c:v>
                </c:pt>
                <c:pt idx="91">
                  <c:v>12.096571830702727</c:v>
                </c:pt>
                <c:pt idx="92">
                  <c:v>12.096571830702727</c:v>
                </c:pt>
                <c:pt idx="93">
                  <c:v>12.609138433698604</c:v>
                </c:pt>
                <c:pt idx="94">
                  <c:v>12.71165175429778</c:v>
                </c:pt>
                <c:pt idx="95">
                  <c:v>12.916678395496129</c:v>
                </c:pt>
                <c:pt idx="96">
                  <c:v>13.019191716095305</c:v>
                </c:pt>
                <c:pt idx="97">
                  <c:v>13.121705036694483</c:v>
                </c:pt>
                <c:pt idx="98">
                  <c:v>13.121705036694483</c:v>
                </c:pt>
                <c:pt idx="99">
                  <c:v>13.121705036694483</c:v>
                </c:pt>
                <c:pt idx="100">
                  <c:v>9.4312254951241581</c:v>
                </c:pt>
                <c:pt idx="101">
                  <c:v>10.148818739318388</c:v>
                </c:pt>
                <c:pt idx="102">
                  <c:v>10.148818739318388</c:v>
                </c:pt>
                <c:pt idx="103">
                  <c:v>10.148818739318388</c:v>
                </c:pt>
                <c:pt idx="104">
                  <c:v>10.148818739318388</c:v>
                </c:pt>
                <c:pt idx="105">
                  <c:v>10.148818739318388</c:v>
                </c:pt>
                <c:pt idx="106">
                  <c:v>10.148818739318388</c:v>
                </c:pt>
                <c:pt idx="107">
                  <c:v>10.148818739318388</c:v>
                </c:pt>
                <c:pt idx="108">
                  <c:v>10.35384538051674</c:v>
                </c:pt>
                <c:pt idx="109">
                  <c:v>14.864431486880468</c:v>
                </c:pt>
                <c:pt idx="110">
                  <c:v>14.864431486880468</c:v>
                </c:pt>
                <c:pt idx="111">
                  <c:v>14.864431486880468</c:v>
                </c:pt>
                <c:pt idx="112">
                  <c:v>14.864431486880468</c:v>
                </c:pt>
                <c:pt idx="113">
                  <c:v>14.864431486880468</c:v>
                </c:pt>
                <c:pt idx="114">
                  <c:v>14.864431486880468</c:v>
                </c:pt>
                <c:pt idx="115">
                  <c:v>14.864431486880468</c:v>
                </c:pt>
                <c:pt idx="116">
                  <c:v>14.864431486880468</c:v>
                </c:pt>
                <c:pt idx="117">
                  <c:v>14.864431486880468</c:v>
                </c:pt>
                <c:pt idx="118">
                  <c:v>9.021172212727457</c:v>
                </c:pt>
                <c:pt idx="119">
                  <c:v>9.021172212727457</c:v>
                </c:pt>
                <c:pt idx="120">
                  <c:v>9.021172212727457</c:v>
                </c:pt>
                <c:pt idx="121">
                  <c:v>9.021172212727457</c:v>
                </c:pt>
                <c:pt idx="122">
                  <c:v>9.6362521363225113</c:v>
                </c:pt>
                <c:pt idx="123">
                  <c:v>9.6362521363225113</c:v>
                </c:pt>
                <c:pt idx="124">
                  <c:v>9.6362521363225113</c:v>
                </c:pt>
                <c:pt idx="125">
                  <c:v>10.046305418719214</c:v>
                </c:pt>
                <c:pt idx="126">
                  <c:v>10.35384538051674</c:v>
                </c:pt>
                <c:pt idx="127">
                  <c:v>12.609138433698604</c:v>
                </c:pt>
                <c:pt idx="128">
                  <c:v>14.249351563285414</c:v>
                </c:pt>
                <c:pt idx="129">
                  <c:v>14.556891525082939</c:v>
                </c:pt>
                <c:pt idx="130">
                  <c:v>14.556891525082939</c:v>
                </c:pt>
                <c:pt idx="131">
                  <c:v>14.556891525082939</c:v>
                </c:pt>
                <c:pt idx="132">
                  <c:v>14.761918166281292</c:v>
                </c:pt>
                <c:pt idx="133">
                  <c:v>14.966944807479642</c:v>
                </c:pt>
                <c:pt idx="134">
                  <c:v>15.069458128078818</c:v>
                </c:pt>
                <c:pt idx="135">
                  <c:v>15.171971448677995</c:v>
                </c:pt>
                <c:pt idx="136">
                  <c:v>11.789031868905198</c:v>
                </c:pt>
                <c:pt idx="137">
                  <c:v>11.789031868905198</c:v>
                </c:pt>
                <c:pt idx="138">
                  <c:v>11.789031868905198</c:v>
                </c:pt>
                <c:pt idx="139">
                  <c:v>11.789031868905198</c:v>
                </c:pt>
                <c:pt idx="140">
                  <c:v>11.789031868905198</c:v>
                </c:pt>
                <c:pt idx="141">
                  <c:v>11.789031868905198</c:v>
                </c:pt>
                <c:pt idx="142">
                  <c:v>11.789031868905198</c:v>
                </c:pt>
                <c:pt idx="143">
                  <c:v>11.789031868905198</c:v>
                </c:pt>
                <c:pt idx="144">
                  <c:v>12.301598471901077</c:v>
                </c:pt>
                <c:pt idx="145">
                  <c:v>-23.885603699607923</c:v>
                </c:pt>
                <c:pt idx="146">
                  <c:v>-10.558872021715091</c:v>
                </c:pt>
                <c:pt idx="147">
                  <c:v>-6.3558258771488898</c:v>
                </c:pt>
                <c:pt idx="148">
                  <c:v>-0.82010656479340516</c:v>
                </c:pt>
                <c:pt idx="149">
                  <c:v>2.6653463355785667</c:v>
                </c:pt>
                <c:pt idx="150">
                  <c:v>4.9206393887604305</c:v>
                </c:pt>
                <c:pt idx="151">
                  <c:v>6.0482859153513635</c:v>
                </c:pt>
                <c:pt idx="152">
                  <c:v>7.483472403739821</c:v>
                </c:pt>
                <c:pt idx="153">
                  <c:v>8.5086056097315783</c:v>
                </c:pt>
                <c:pt idx="154">
                  <c:v>-23.885603699607923</c:v>
                </c:pt>
                <c:pt idx="155">
                  <c:v>-10.558872021715091</c:v>
                </c:pt>
                <c:pt idx="156">
                  <c:v>-6.3558258771488898</c:v>
                </c:pt>
                <c:pt idx="157">
                  <c:v>-0.82010656479340516</c:v>
                </c:pt>
                <c:pt idx="158">
                  <c:v>0.5125666029958782</c:v>
                </c:pt>
                <c:pt idx="159">
                  <c:v>2.0502664119835128</c:v>
                </c:pt>
                <c:pt idx="160">
                  <c:v>2.0502664119835128</c:v>
                </c:pt>
                <c:pt idx="161">
                  <c:v>2.0502664119835128</c:v>
                </c:pt>
                <c:pt idx="162">
                  <c:v>2.0502664119835128</c:v>
                </c:pt>
                <c:pt idx="163">
                  <c:v>9.841278777520861</c:v>
                </c:pt>
                <c:pt idx="164">
                  <c:v>11.99405851010355</c:v>
                </c:pt>
                <c:pt idx="165">
                  <c:v>12.609138433698604</c:v>
                </c:pt>
                <c:pt idx="166">
                  <c:v>13.121705036694483</c:v>
                </c:pt>
                <c:pt idx="167">
                  <c:v>13.224218357293658</c:v>
                </c:pt>
                <c:pt idx="168">
                  <c:v>13.429244998492008</c:v>
                </c:pt>
                <c:pt idx="169">
                  <c:v>13.531758319091184</c:v>
                </c:pt>
                <c:pt idx="170">
                  <c:v>13.531758319091184</c:v>
                </c:pt>
                <c:pt idx="171">
                  <c:v>13.736784960289537</c:v>
                </c:pt>
                <c:pt idx="172">
                  <c:v>3.4854529003719716</c:v>
                </c:pt>
                <c:pt idx="173">
                  <c:v>4.9206393887604305</c:v>
                </c:pt>
                <c:pt idx="174">
                  <c:v>4.9206393887604305</c:v>
                </c:pt>
                <c:pt idx="175">
                  <c:v>5.6382326329546597</c:v>
                </c:pt>
                <c:pt idx="176">
                  <c:v>5.6382326329546597</c:v>
                </c:pt>
                <c:pt idx="177">
                  <c:v>5.6382326329546597</c:v>
                </c:pt>
                <c:pt idx="178">
                  <c:v>6.1507992359505383</c:v>
                </c:pt>
                <c:pt idx="179">
                  <c:v>6.1507992359505383</c:v>
                </c:pt>
                <c:pt idx="180">
                  <c:v>6.3558258771488898</c:v>
                </c:pt>
                <c:pt idx="181">
                  <c:v>16.197104654669751</c:v>
                </c:pt>
                <c:pt idx="182">
                  <c:v>16.197104654669751</c:v>
                </c:pt>
                <c:pt idx="183">
                  <c:v>16.197104654669751</c:v>
                </c:pt>
                <c:pt idx="184">
                  <c:v>16.197104654669751</c:v>
                </c:pt>
                <c:pt idx="185">
                  <c:v>16.197104654669751</c:v>
                </c:pt>
                <c:pt idx="186">
                  <c:v>16.197104654669751</c:v>
                </c:pt>
                <c:pt idx="187">
                  <c:v>16.197104654669751</c:v>
                </c:pt>
                <c:pt idx="188">
                  <c:v>16.197104654669751</c:v>
                </c:pt>
                <c:pt idx="189">
                  <c:v>16.197104654669751</c:v>
                </c:pt>
                <c:pt idx="190">
                  <c:v>8.4060922891324008</c:v>
                </c:pt>
                <c:pt idx="191">
                  <c:v>8.4060922891324008</c:v>
                </c:pt>
                <c:pt idx="192">
                  <c:v>8.4060922891324008</c:v>
                </c:pt>
                <c:pt idx="193">
                  <c:v>8.4060922891324008</c:v>
                </c:pt>
                <c:pt idx="194">
                  <c:v>8.4060922891324008</c:v>
                </c:pt>
                <c:pt idx="195">
                  <c:v>8.4060922891324008</c:v>
                </c:pt>
                <c:pt idx="196">
                  <c:v>8.4060922891324008</c:v>
                </c:pt>
                <c:pt idx="197">
                  <c:v>8.4060922891324008</c:v>
                </c:pt>
                <c:pt idx="198">
                  <c:v>8.4060922891324008</c:v>
                </c:pt>
                <c:pt idx="199">
                  <c:v>10.661385342314267</c:v>
                </c:pt>
                <c:pt idx="200">
                  <c:v>10.661385342314267</c:v>
                </c:pt>
                <c:pt idx="201">
                  <c:v>11.99405851010355</c:v>
                </c:pt>
                <c:pt idx="202">
                  <c:v>12.506625113099426</c:v>
                </c:pt>
                <c:pt idx="203">
                  <c:v>13.019191716095305</c:v>
                </c:pt>
                <c:pt idx="204">
                  <c:v>13.121705036694483</c:v>
                </c:pt>
                <c:pt idx="205">
                  <c:v>13.429244998492008</c:v>
                </c:pt>
                <c:pt idx="206">
                  <c:v>13.531758319091184</c:v>
                </c:pt>
                <c:pt idx="207">
                  <c:v>13.634271639690361</c:v>
                </c:pt>
                <c:pt idx="208">
                  <c:v>10.046305418719214</c:v>
                </c:pt>
                <c:pt idx="209">
                  <c:v>10.046305418719214</c:v>
                </c:pt>
                <c:pt idx="210">
                  <c:v>10.046305418719214</c:v>
                </c:pt>
                <c:pt idx="211">
                  <c:v>10.456358701115914</c:v>
                </c:pt>
                <c:pt idx="212">
                  <c:v>10.456358701115914</c:v>
                </c:pt>
                <c:pt idx="213">
                  <c:v>10.456358701115914</c:v>
                </c:pt>
                <c:pt idx="214">
                  <c:v>10.456358701115914</c:v>
                </c:pt>
                <c:pt idx="215">
                  <c:v>10.763898662913443</c:v>
                </c:pt>
                <c:pt idx="216">
                  <c:v>10.968925304111792</c:v>
                </c:pt>
                <c:pt idx="235">
                  <c:v>2.6009229739478958</c:v>
                </c:pt>
                <c:pt idx="236">
                  <c:v>2.7295400440881763</c:v>
                </c:pt>
                <c:pt idx="237">
                  <c:v>3.2011359679358722</c:v>
                </c:pt>
                <c:pt idx="238">
                  <c:v>6.5198775718096131</c:v>
                </c:pt>
                <c:pt idx="239">
                  <c:v>7.8562499933606507</c:v>
                </c:pt>
                <c:pt idx="240">
                  <c:v>7.840051539766093</c:v>
                </c:pt>
                <c:pt idx="241">
                  <c:v>8.6418749926967156</c:v>
                </c:pt>
                <c:pt idx="242">
                  <c:v>17.332345346177107</c:v>
                </c:pt>
                <c:pt idx="243">
                  <c:v>17.850695861202961</c:v>
                </c:pt>
                <c:pt idx="244">
                  <c:v>6.5927706129851238</c:v>
                </c:pt>
                <c:pt idx="245">
                  <c:v>7.022029633240912</c:v>
                </c:pt>
                <c:pt idx="246">
                  <c:v>6.5927706129851238</c:v>
                </c:pt>
                <c:pt idx="247">
                  <c:v>7.022029633240912</c:v>
                </c:pt>
                <c:pt idx="248">
                  <c:v>15.712499986721301</c:v>
                </c:pt>
                <c:pt idx="249">
                  <c:v>16.044568285409742</c:v>
                </c:pt>
                <c:pt idx="250">
                  <c:v>6.4469845306341016</c:v>
                </c:pt>
                <c:pt idx="251">
                  <c:v>7.1597164887946558</c:v>
                </c:pt>
                <c:pt idx="252">
                  <c:v>6.4469845306341016</c:v>
                </c:pt>
                <c:pt idx="253">
                  <c:v>7.1597164887946558</c:v>
                </c:pt>
                <c:pt idx="254">
                  <c:v>15.56671390437028</c:v>
                </c:pt>
                <c:pt idx="255">
                  <c:v>15.963576017436953</c:v>
                </c:pt>
                <c:pt idx="256">
                  <c:v>1.911417524157849</c:v>
                </c:pt>
                <c:pt idx="257">
                  <c:v>3.272087626100725</c:v>
                </c:pt>
                <c:pt idx="258">
                  <c:v>1.911417524157849</c:v>
                </c:pt>
                <c:pt idx="259">
                  <c:v>3.272087626100725</c:v>
                </c:pt>
                <c:pt idx="260">
                  <c:v>7.4593878802939804</c:v>
                </c:pt>
                <c:pt idx="261">
                  <c:v>7.6132731894422809</c:v>
                </c:pt>
                <c:pt idx="262">
                  <c:v>3.2801868528980034</c:v>
                </c:pt>
                <c:pt idx="263">
                  <c:v>5.6046649437170828</c:v>
                </c:pt>
                <c:pt idx="264">
                  <c:v>3.2801868528980034</c:v>
                </c:pt>
                <c:pt idx="265">
                  <c:v>5.6046649437170828</c:v>
                </c:pt>
                <c:pt idx="266">
                  <c:v>21.122783487303689</c:v>
                </c:pt>
                <c:pt idx="267">
                  <c:v>21.722126270302336</c:v>
                </c:pt>
                <c:pt idx="268">
                  <c:v>4.543666233273532</c:v>
                </c:pt>
                <c:pt idx="269">
                  <c:v>4.9729252535293194</c:v>
                </c:pt>
                <c:pt idx="270">
                  <c:v>1.7008376274285946</c:v>
                </c:pt>
                <c:pt idx="271">
                  <c:v>5.5479703561361298</c:v>
                </c:pt>
                <c:pt idx="272">
                  <c:v>0</c:v>
                </c:pt>
                <c:pt idx="273">
                  <c:v>8.4636920031565772</c:v>
                </c:pt>
                <c:pt idx="274">
                  <c:v>6.5249728561375298</c:v>
                </c:pt>
                <c:pt idx="275">
                  <c:v>6.9165737408263803</c:v>
                </c:pt>
                <c:pt idx="276">
                  <c:v>7.1923345732381625</c:v>
                </c:pt>
                <c:pt idx="277">
                  <c:v>7.8350930933949936</c:v>
                </c:pt>
                <c:pt idx="278">
                  <c:v>7.5111510003015987</c:v>
                </c:pt>
                <c:pt idx="279">
                  <c:v>7.4998745350356897</c:v>
                </c:pt>
                <c:pt idx="280">
                  <c:v>7.3050992258972567</c:v>
                </c:pt>
                <c:pt idx="281">
                  <c:v>7.6515942495224705</c:v>
                </c:pt>
                <c:pt idx="282">
                  <c:v>8.5403847391173215</c:v>
                </c:pt>
                <c:pt idx="283">
                  <c:v>8.1098287926007853</c:v>
                </c:pt>
                <c:pt idx="284">
                  <c:v>8.7474616467276576</c:v>
                </c:pt>
                <c:pt idx="285">
                  <c:v>8.5055302101136032</c:v>
                </c:pt>
                <c:pt idx="286">
                  <c:v>7.9468326128480955</c:v>
                </c:pt>
                <c:pt idx="287">
                  <c:v>4.7454308617234471</c:v>
                </c:pt>
                <c:pt idx="288">
                  <c:v>2.4975951903807618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6E8-2242-81F7-2F20F398CF90}"/>
            </c:ext>
          </c:extLst>
        </c:ser>
        <c:ser>
          <c:idx val="2"/>
          <c:order val="2"/>
          <c:tx>
            <c:strRef>
              <c:f>'Res, Cap, Agg, Pro Costs'!$K$1:$P$1</c:f>
              <c:strCache>
                <c:ptCount val="1"/>
                <c:pt idx="0">
                  <c:v>Aggregated Costs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'Res, Cap, Agg, Pro Costs'!$N$3:$N$115</c:f>
              <c:numCache>
                <c:formatCode>0.0%</c:formatCode>
                <c:ptCount val="113"/>
                <c:pt idx="0">
                  <c:v>0.36399999999999999</c:v>
                </c:pt>
                <c:pt idx="1">
                  <c:v>0.36299999999999999</c:v>
                </c:pt>
                <c:pt idx="2">
                  <c:v>0.36099999999999999</c:v>
                </c:pt>
                <c:pt idx="3">
                  <c:v>0.47</c:v>
                </c:pt>
                <c:pt idx="4">
                  <c:v>0.48</c:v>
                </c:pt>
                <c:pt idx="5">
                  <c:v>0.51200000000000001</c:v>
                </c:pt>
                <c:pt idx="6">
                  <c:v>0.51800000000000002</c:v>
                </c:pt>
                <c:pt idx="7">
                  <c:v>0.51300000000000001</c:v>
                </c:pt>
                <c:pt idx="8">
                  <c:v>0.51900000000000002</c:v>
                </c:pt>
                <c:pt idx="9">
                  <c:v>0.26600000000000001</c:v>
                </c:pt>
                <c:pt idx="10">
                  <c:v>0.37</c:v>
                </c:pt>
                <c:pt idx="11">
                  <c:v>0.504</c:v>
                </c:pt>
                <c:pt idx="12">
                  <c:v>0.26600000000000001</c:v>
                </c:pt>
                <c:pt idx="13">
                  <c:v>0.37</c:v>
                </c:pt>
                <c:pt idx="14">
                  <c:v>0.47</c:v>
                </c:pt>
                <c:pt idx="15">
                  <c:v>0.26500000000000001</c:v>
                </c:pt>
                <c:pt idx="16">
                  <c:v>0.27900000000000003</c:v>
                </c:pt>
                <c:pt idx="17">
                  <c:v>0.35499999999999998</c:v>
                </c:pt>
                <c:pt idx="18">
                  <c:v>0.37</c:v>
                </c:pt>
                <c:pt idx="19">
                  <c:v>0.41499999999999998</c:v>
                </c:pt>
                <c:pt idx="20">
                  <c:v>0.46</c:v>
                </c:pt>
                <c:pt idx="21">
                  <c:v>0.46</c:v>
                </c:pt>
                <c:pt idx="22">
                  <c:v>0.53800000000000003</c:v>
                </c:pt>
                <c:pt idx="23">
                  <c:v>0.53800000000000003</c:v>
                </c:pt>
                <c:pt idx="24">
                  <c:v>0.56000000000000005</c:v>
                </c:pt>
                <c:pt idx="25">
                  <c:v>0.60199999999999998</c:v>
                </c:pt>
                <c:pt idx="26">
                  <c:v>0.60199999999999998</c:v>
                </c:pt>
                <c:pt idx="27">
                  <c:v>0.45200000000000001</c:v>
                </c:pt>
                <c:pt idx="28">
                  <c:v>0.45300000000000001</c:v>
                </c:pt>
                <c:pt idx="29">
                  <c:v>0.52800000000000002</c:v>
                </c:pt>
                <c:pt idx="30">
                  <c:v>0.53</c:v>
                </c:pt>
                <c:pt idx="31">
                  <c:v>0.58899999999999997</c:v>
                </c:pt>
                <c:pt idx="32">
                  <c:v>0.58899999999999997</c:v>
                </c:pt>
                <c:pt idx="33">
                  <c:v>0.36199999999999999</c:v>
                </c:pt>
                <c:pt idx="34">
                  <c:v>0.36399999999999999</c:v>
                </c:pt>
                <c:pt idx="35">
                  <c:v>0.36399999999999999</c:v>
                </c:pt>
                <c:pt idx="36">
                  <c:v>0.47099999999999997</c:v>
                </c:pt>
                <c:pt idx="37">
                  <c:v>0.48</c:v>
                </c:pt>
                <c:pt idx="38">
                  <c:v>0.51300000000000001</c:v>
                </c:pt>
                <c:pt idx="39">
                  <c:v>0.51800000000000002</c:v>
                </c:pt>
                <c:pt idx="40">
                  <c:v>0.51400000000000001</c:v>
                </c:pt>
                <c:pt idx="41">
                  <c:v>0.51900000000000002</c:v>
                </c:pt>
                <c:pt idx="42">
                  <c:v>0.26600000000000001</c:v>
                </c:pt>
                <c:pt idx="43">
                  <c:v>0.37</c:v>
                </c:pt>
                <c:pt idx="44">
                  <c:v>0.50600000000000001</c:v>
                </c:pt>
                <c:pt idx="45">
                  <c:v>0.26600000000000001</c:v>
                </c:pt>
                <c:pt idx="46">
                  <c:v>0.37</c:v>
                </c:pt>
                <c:pt idx="47">
                  <c:v>0.47</c:v>
                </c:pt>
                <c:pt idx="48">
                  <c:v>0.26600000000000001</c:v>
                </c:pt>
                <c:pt idx="49">
                  <c:v>0.27900000000000003</c:v>
                </c:pt>
                <c:pt idx="50">
                  <c:v>0.35599999999999998</c:v>
                </c:pt>
                <c:pt idx="51">
                  <c:v>0.37</c:v>
                </c:pt>
                <c:pt idx="52">
                  <c:v>0.41499999999999998</c:v>
                </c:pt>
                <c:pt idx="53">
                  <c:v>0.46</c:v>
                </c:pt>
                <c:pt idx="54">
                  <c:v>0.46</c:v>
                </c:pt>
                <c:pt idx="55">
                  <c:v>0.53800000000000003</c:v>
                </c:pt>
                <c:pt idx="56">
                  <c:v>0.53800000000000003</c:v>
                </c:pt>
                <c:pt idx="57">
                  <c:v>0.56000000000000005</c:v>
                </c:pt>
                <c:pt idx="58">
                  <c:v>0.60199999999999998</c:v>
                </c:pt>
                <c:pt idx="59">
                  <c:v>0.60199999999999998</c:v>
                </c:pt>
                <c:pt idx="60">
                  <c:v>0.45200000000000001</c:v>
                </c:pt>
                <c:pt idx="61">
                  <c:v>0.45300000000000001</c:v>
                </c:pt>
                <c:pt idx="62">
                  <c:v>0.52700000000000002</c:v>
                </c:pt>
                <c:pt idx="63">
                  <c:v>0.53</c:v>
                </c:pt>
                <c:pt idx="64">
                  <c:v>0.58899999999999997</c:v>
                </c:pt>
                <c:pt idx="65">
                  <c:v>0.58899999999999997</c:v>
                </c:pt>
                <c:pt idx="66">
                  <c:v>0.36099999999999999</c:v>
                </c:pt>
                <c:pt idx="67">
                  <c:v>0.36299999999999999</c:v>
                </c:pt>
                <c:pt idx="68">
                  <c:v>0.36399999999999999</c:v>
                </c:pt>
                <c:pt idx="69">
                  <c:v>0.47099999999999997</c:v>
                </c:pt>
                <c:pt idx="70">
                  <c:v>0.51900000000000002</c:v>
                </c:pt>
                <c:pt idx="71">
                  <c:v>0.51800000000000002</c:v>
                </c:pt>
                <c:pt idx="72">
                  <c:v>0.51300000000000001</c:v>
                </c:pt>
                <c:pt idx="73">
                  <c:v>0.51400000000000001</c:v>
                </c:pt>
                <c:pt idx="74">
                  <c:v>0.26600000000000001</c:v>
                </c:pt>
                <c:pt idx="75">
                  <c:v>0.37</c:v>
                </c:pt>
                <c:pt idx="76">
                  <c:v>0.505</c:v>
                </c:pt>
                <c:pt idx="77">
                  <c:v>0.26500000000000001</c:v>
                </c:pt>
                <c:pt idx="78">
                  <c:v>0.37</c:v>
                </c:pt>
                <c:pt idx="79">
                  <c:v>0.47</c:v>
                </c:pt>
                <c:pt idx="80">
                  <c:v>0.26500000000000001</c:v>
                </c:pt>
                <c:pt idx="81">
                  <c:v>0.27800000000000002</c:v>
                </c:pt>
                <c:pt idx="82">
                  <c:v>0.35499999999999998</c:v>
                </c:pt>
                <c:pt idx="83">
                  <c:v>0.37</c:v>
                </c:pt>
                <c:pt idx="84">
                  <c:v>0.41499999999999998</c:v>
                </c:pt>
                <c:pt idx="85">
                  <c:v>0.46</c:v>
                </c:pt>
                <c:pt idx="86">
                  <c:v>0.46</c:v>
                </c:pt>
                <c:pt idx="87">
                  <c:v>0.53900000000000003</c:v>
                </c:pt>
                <c:pt idx="88">
                  <c:v>0.53900000000000003</c:v>
                </c:pt>
                <c:pt idx="89">
                  <c:v>0.56100000000000005</c:v>
                </c:pt>
                <c:pt idx="90">
                  <c:v>0.60199999999999998</c:v>
                </c:pt>
                <c:pt idx="91">
                  <c:v>0.60199999999999998</c:v>
                </c:pt>
                <c:pt idx="92">
                  <c:v>0.45200000000000001</c:v>
                </c:pt>
                <c:pt idx="93">
                  <c:v>0.45400000000000001</c:v>
                </c:pt>
                <c:pt idx="94">
                  <c:v>0.52800000000000002</c:v>
                </c:pt>
                <c:pt idx="95">
                  <c:v>0.53</c:v>
                </c:pt>
                <c:pt idx="96">
                  <c:v>0.58899999999999997</c:v>
                </c:pt>
                <c:pt idx="97">
                  <c:v>0.59</c:v>
                </c:pt>
                <c:pt idx="98">
                  <c:v>0.18899999999999997</c:v>
                </c:pt>
                <c:pt idx="99">
                  <c:v>0.18899999999999997</c:v>
                </c:pt>
                <c:pt idx="100">
                  <c:v>0.189</c:v>
                </c:pt>
                <c:pt idx="101">
                  <c:v>0.375</c:v>
                </c:pt>
                <c:pt idx="102">
                  <c:v>0.375</c:v>
                </c:pt>
                <c:pt idx="103">
                  <c:v>0.36299999999999999</c:v>
                </c:pt>
                <c:pt idx="104">
                  <c:v>0.55899999999999994</c:v>
                </c:pt>
                <c:pt idx="105">
                  <c:v>0.55299999999999994</c:v>
                </c:pt>
                <c:pt idx="106">
                  <c:v>0.53299999999999992</c:v>
                </c:pt>
                <c:pt idx="107">
                  <c:v>0.72699999999999998</c:v>
                </c:pt>
                <c:pt idx="108">
                  <c:v>0.71900000000000008</c:v>
                </c:pt>
                <c:pt idx="109">
                  <c:v>0.66799999999999993</c:v>
                </c:pt>
                <c:pt idx="110">
                  <c:v>0.83099999999999996</c:v>
                </c:pt>
                <c:pt idx="111">
                  <c:v>0.82900000000000007</c:v>
                </c:pt>
                <c:pt idx="112">
                  <c:v>0.76200000000000001</c:v>
                </c:pt>
              </c:numCache>
            </c:numRef>
          </c:xVal>
          <c:yVal>
            <c:numRef>
              <c:f>'Res, Cap, Agg, Pro Costs'!$P$3:$P$115</c:f>
              <c:numCache>
                <c:formatCode>0.00</c:formatCode>
                <c:ptCount val="113"/>
                <c:pt idx="0">
                  <c:v>8.9942434560000013</c:v>
                </c:pt>
                <c:pt idx="1">
                  <c:v>19.112767344000002</c:v>
                </c:pt>
                <c:pt idx="2">
                  <c:v>32.323062420000007</c:v>
                </c:pt>
                <c:pt idx="3">
                  <c:v>51.857434926000003</c:v>
                </c:pt>
                <c:pt idx="4">
                  <c:v>49.749409116000002</c:v>
                </c:pt>
                <c:pt idx="5">
                  <c:v>19.534372506</c:v>
                </c:pt>
                <c:pt idx="6">
                  <c:v>17.988486912000003</c:v>
                </c:pt>
                <c:pt idx="7">
                  <c:v>9.9779888340000014</c:v>
                </c:pt>
                <c:pt idx="8">
                  <c:v>11.523874428000001</c:v>
                </c:pt>
                <c:pt idx="9">
                  <c:v>14.896715724000002</c:v>
                </c:pt>
                <c:pt idx="10">
                  <c:v>44.69014717200001</c:v>
                </c:pt>
                <c:pt idx="11">
                  <c:v>68.018966136000003</c:v>
                </c:pt>
                <c:pt idx="12">
                  <c:v>14.334575508</c:v>
                </c:pt>
                <c:pt idx="13">
                  <c:v>15.458855940000003</c:v>
                </c:pt>
                <c:pt idx="14">
                  <c:v>15.739926048000001</c:v>
                </c:pt>
                <c:pt idx="15">
                  <c:v>9.2753135640000011</c:v>
                </c:pt>
                <c:pt idx="16">
                  <c:v>10.399593996000002</c:v>
                </c:pt>
                <c:pt idx="17">
                  <c:v>10.821199158000001</c:v>
                </c:pt>
                <c:pt idx="18">
                  <c:v>10.680664104000002</c:v>
                </c:pt>
                <c:pt idx="19">
                  <c:v>9.1347785100000021</c:v>
                </c:pt>
                <c:pt idx="20">
                  <c:v>10.821199158000001</c:v>
                </c:pt>
                <c:pt idx="21">
                  <c:v>11.523874428000001</c:v>
                </c:pt>
                <c:pt idx="22">
                  <c:v>15.599390994000002</c:v>
                </c:pt>
                <c:pt idx="23">
                  <c:v>16.020996156000002</c:v>
                </c:pt>
                <c:pt idx="24">
                  <c:v>26.139520044000005</c:v>
                </c:pt>
                <c:pt idx="25">
                  <c:v>24.734169504000004</c:v>
                </c:pt>
                <c:pt idx="26">
                  <c:v>31.901457258000004</c:v>
                </c:pt>
                <c:pt idx="27">
                  <c:v>7.7294279700000015</c:v>
                </c:pt>
                <c:pt idx="28">
                  <c:v>7.8699630240000005</c:v>
                </c:pt>
                <c:pt idx="29">
                  <c:v>9.4158486180000018</c:v>
                </c:pt>
                <c:pt idx="30">
                  <c:v>9.4158486180000018</c:v>
                </c:pt>
                <c:pt idx="31">
                  <c:v>10.961734212</c:v>
                </c:pt>
                <c:pt idx="32">
                  <c:v>10.399593996000002</c:v>
                </c:pt>
                <c:pt idx="33">
                  <c:v>32.323062420000007</c:v>
                </c:pt>
                <c:pt idx="34">
                  <c:v>18.972232290000004</c:v>
                </c:pt>
                <c:pt idx="35">
                  <c:v>8.8537084020000005</c:v>
                </c:pt>
                <c:pt idx="36">
                  <c:v>51.716899871999999</c:v>
                </c:pt>
                <c:pt idx="37">
                  <c:v>49.749409116000002</c:v>
                </c:pt>
                <c:pt idx="38">
                  <c:v>19.393837452000003</c:v>
                </c:pt>
                <c:pt idx="39">
                  <c:v>17.847951858000002</c:v>
                </c:pt>
                <c:pt idx="40">
                  <c:v>9.6969187260000016</c:v>
                </c:pt>
                <c:pt idx="41">
                  <c:v>11.383339374</c:v>
                </c:pt>
                <c:pt idx="42">
                  <c:v>15.318320886000002</c:v>
                </c:pt>
                <c:pt idx="43">
                  <c:v>32.041992312000005</c:v>
                </c:pt>
                <c:pt idx="44">
                  <c:v>56.495091708000011</c:v>
                </c:pt>
                <c:pt idx="45">
                  <c:v>14.475110562000003</c:v>
                </c:pt>
                <c:pt idx="46">
                  <c:v>16.723671426000003</c:v>
                </c:pt>
                <c:pt idx="47">
                  <c:v>14.334575508</c:v>
                </c:pt>
                <c:pt idx="48">
                  <c:v>9.1347785100000021</c:v>
                </c:pt>
                <c:pt idx="49">
                  <c:v>10.118523888</c:v>
                </c:pt>
                <c:pt idx="50">
                  <c:v>6.7456825920000005</c:v>
                </c:pt>
                <c:pt idx="51">
                  <c:v>10.540129050000001</c:v>
                </c:pt>
                <c:pt idx="52">
                  <c:v>8.8537084020000005</c:v>
                </c:pt>
                <c:pt idx="53">
                  <c:v>10.118523888</c:v>
                </c:pt>
                <c:pt idx="54">
                  <c:v>10.540129050000001</c:v>
                </c:pt>
                <c:pt idx="55">
                  <c:v>10.259058942000001</c:v>
                </c:pt>
                <c:pt idx="56">
                  <c:v>11.945479590000001</c:v>
                </c:pt>
                <c:pt idx="57">
                  <c:v>22.766678748</c:v>
                </c:pt>
                <c:pt idx="58">
                  <c:v>17.988486912000003</c:v>
                </c:pt>
                <c:pt idx="59">
                  <c:v>19.815442614000002</c:v>
                </c:pt>
                <c:pt idx="60">
                  <c:v>10.118523888</c:v>
                </c:pt>
                <c:pt idx="61">
                  <c:v>10.540129050000001</c:v>
                </c:pt>
                <c:pt idx="62">
                  <c:v>2.1080258100000004</c:v>
                </c:pt>
                <c:pt idx="63">
                  <c:v>9.2753135640000011</c:v>
                </c:pt>
                <c:pt idx="64">
                  <c:v>11.242804320000001</c:v>
                </c:pt>
                <c:pt idx="65">
                  <c:v>11.945479590000001</c:v>
                </c:pt>
                <c:pt idx="66">
                  <c:v>32.182527366000002</c:v>
                </c:pt>
                <c:pt idx="67">
                  <c:v>16.864206480000004</c:v>
                </c:pt>
                <c:pt idx="68">
                  <c:v>14.615645616000004</c:v>
                </c:pt>
                <c:pt idx="69">
                  <c:v>50.171014278000008</c:v>
                </c:pt>
                <c:pt idx="70">
                  <c:v>35.414833608000002</c:v>
                </c:pt>
                <c:pt idx="71">
                  <c:v>34.290553175999996</c:v>
                </c:pt>
                <c:pt idx="72">
                  <c:v>17.145276587999998</c:v>
                </c:pt>
                <c:pt idx="73">
                  <c:v>15.599390994000002</c:v>
                </c:pt>
                <c:pt idx="74">
                  <c:v>14.615645616000004</c:v>
                </c:pt>
                <c:pt idx="75">
                  <c:v>40.614630605999999</c:v>
                </c:pt>
                <c:pt idx="76">
                  <c:v>61.132748490000004</c:v>
                </c:pt>
                <c:pt idx="77">
                  <c:v>13.631900238</c:v>
                </c:pt>
                <c:pt idx="78">
                  <c:v>15.739926048000001</c:v>
                </c:pt>
                <c:pt idx="79">
                  <c:v>24.453099396000002</c:v>
                </c:pt>
                <c:pt idx="80">
                  <c:v>9.8374537800000024</c:v>
                </c:pt>
                <c:pt idx="81">
                  <c:v>17.285811642000006</c:v>
                </c:pt>
                <c:pt idx="82">
                  <c:v>17.847951858000002</c:v>
                </c:pt>
                <c:pt idx="83">
                  <c:v>11.383339374</c:v>
                </c:pt>
                <c:pt idx="84">
                  <c:v>18.691162182000003</c:v>
                </c:pt>
                <c:pt idx="85">
                  <c:v>19.112767344000002</c:v>
                </c:pt>
                <c:pt idx="86">
                  <c:v>20.237047776000001</c:v>
                </c:pt>
                <c:pt idx="87">
                  <c:v>20.518117884000002</c:v>
                </c:pt>
                <c:pt idx="88">
                  <c:v>24.031494234000004</c:v>
                </c:pt>
                <c:pt idx="89">
                  <c:v>31.620387150000003</c:v>
                </c:pt>
                <c:pt idx="90">
                  <c:v>40.755165660000003</c:v>
                </c:pt>
                <c:pt idx="91">
                  <c:v>38.366069742000008</c:v>
                </c:pt>
                <c:pt idx="92">
                  <c:v>11.383339374</c:v>
                </c:pt>
                <c:pt idx="93">
                  <c:v>16.583136372000006</c:v>
                </c:pt>
                <c:pt idx="94">
                  <c:v>8.1510331320000002</c:v>
                </c:pt>
                <c:pt idx="95">
                  <c:v>14.615645616000004</c:v>
                </c:pt>
                <c:pt idx="96">
                  <c:v>14.053505400000001</c:v>
                </c:pt>
                <c:pt idx="97">
                  <c:v>20.518117884000002</c:v>
                </c:pt>
                <c:pt idx="98">
                  <c:v>12.140623966486608</c:v>
                </c:pt>
                <c:pt idx="99">
                  <c:v>13.601995369859996</c:v>
                </c:pt>
                <c:pt idx="100">
                  <c:v>17.761283210230406</c:v>
                </c:pt>
                <c:pt idx="101">
                  <c:v>15.063366773233383</c:v>
                </c:pt>
                <c:pt idx="102">
                  <c:v>16.412324991731893</c:v>
                </c:pt>
                <c:pt idx="103">
                  <c:v>23.719182008598835</c:v>
                </c:pt>
                <c:pt idx="104">
                  <c:v>17.873696395105284</c:v>
                </c:pt>
                <c:pt idx="105">
                  <c:v>19.672307353103299</c:v>
                </c:pt>
                <c:pt idx="106">
                  <c:v>29.564667622092387</c:v>
                </c:pt>
                <c:pt idx="107">
                  <c:v>21.021265571601809</c:v>
                </c:pt>
                <c:pt idx="108">
                  <c:v>23.381942453974208</c:v>
                </c:pt>
                <c:pt idx="109">
                  <c:v>36.421871899459823</c:v>
                </c:pt>
                <c:pt idx="110">
                  <c:v>27.316403924594866</c:v>
                </c:pt>
                <c:pt idx="111">
                  <c:v>30.126733546466767</c:v>
                </c:pt>
                <c:pt idx="112">
                  <c:v>44.62803439532577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6E8-2242-81F7-2F20F398CF90}"/>
            </c:ext>
          </c:extLst>
        </c:ser>
        <c:ser>
          <c:idx val="3"/>
          <c:order val="3"/>
          <c:tx>
            <c:strRef>
              <c:f>'Res, Cap, Agg, Pro Costs'!$T$1:$AA$1</c:f>
              <c:strCache>
                <c:ptCount val="1"/>
                <c:pt idx="0">
                  <c:v>Profile Costs</c:v>
                </c:pt>
              </c:strCache>
            </c:strRef>
          </c:tx>
          <c:spPr>
            <a:ln w="28575">
              <a:noFill/>
            </a:ln>
          </c:spPr>
          <c:marker>
            <c:symbol val="diamond"/>
            <c:size val="9"/>
            <c:spPr>
              <a:noFill/>
              <a:ln w="15875">
                <a:solidFill>
                  <a:srgbClr val="00B050"/>
                </a:solidFill>
              </a:ln>
            </c:spPr>
          </c:marker>
          <c:xVal>
            <c:numRef>
              <c:f>'Res, Cap, Agg, Pro Costs'!$W$3:$W$100</c:f>
              <c:numCache>
                <c:formatCode>0.0%</c:formatCode>
                <c:ptCount val="98"/>
                <c:pt idx="0">
                  <c:v>0.02</c:v>
                </c:pt>
                <c:pt idx="1">
                  <c:v>0.03</c:v>
                </c:pt>
                <c:pt idx="2">
                  <c:v>3.5000000000000003E-2</c:v>
                </c:pt>
                <c:pt idx="3">
                  <c:v>4.7E-2</c:v>
                </c:pt>
                <c:pt idx="4">
                  <c:v>4.9000000000000002E-2</c:v>
                </c:pt>
                <c:pt idx="5">
                  <c:v>5.5E-2</c:v>
                </c:pt>
                <c:pt idx="6">
                  <c:v>7.0999999999999994E-2</c:v>
                </c:pt>
                <c:pt idx="7">
                  <c:v>7.2999999999999995E-2</c:v>
                </c:pt>
                <c:pt idx="8">
                  <c:v>8.7999999999999995E-2</c:v>
                </c:pt>
                <c:pt idx="9">
                  <c:v>0.08</c:v>
                </c:pt>
                <c:pt idx="10">
                  <c:v>4.0000000000000001E-3</c:v>
                </c:pt>
                <c:pt idx="11">
                  <c:v>5.0000000000000001E-3</c:v>
                </c:pt>
                <c:pt idx="12">
                  <c:v>7.0000000000000001E-3</c:v>
                </c:pt>
                <c:pt idx="13">
                  <c:v>1.0999999999999999E-2</c:v>
                </c:pt>
                <c:pt idx="14">
                  <c:v>2.1000000000000001E-2</c:v>
                </c:pt>
                <c:pt idx="15">
                  <c:v>3.3000000000000002E-2</c:v>
                </c:pt>
                <c:pt idx="16">
                  <c:v>4.4999999999999998E-2</c:v>
                </c:pt>
                <c:pt idx="17">
                  <c:v>0.1</c:v>
                </c:pt>
                <c:pt idx="18">
                  <c:v>0.2</c:v>
                </c:pt>
                <c:pt idx="19">
                  <c:v>0.3</c:v>
                </c:pt>
                <c:pt idx="20">
                  <c:v>0.1</c:v>
                </c:pt>
                <c:pt idx="21">
                  <c:v>0.2</c:v>
                </c:pt>
                <c:pt idx="22">
                  <c:v>0.3</c:v>
                </c:pt>
                <c:pt idx="23">
                  <c:v>0.05</c:v>
                </c:pt>
                <c:pt idx="24">
                  <c:v>0.1</c:v>
                </c:pt>
                <c:pt idx="25">
                  <c:v>0.15</c:v>
                </c:pt>
                <c:pt idx="26">
                  <c:v>0.2</c:v>
                </c:pt>
                <c:pt idx="27">
                  <c:v>0.25</c:v>
                </c:pt>
                <c:pt idx="28">
                  <c:v>0.3</c:v>
                </c:pt>
                <c:pt idx="29">
                  <c:v>0.35</c:v>
                </c:pt>
                <c:pt idx="30">
                  <c:v>0.4</c:v>
                </c:pt>
                <c:pt idx="31">
                  <c:v>0.05</c:v>
                </c:pt>
                <c:pt idx="32">
                  <c:v>0.1</c:v>
                </c:pt>
                <c:pt idx="33">
                  <c:v>0.15</c:v>
                </c:pt>
                <c:pt idx="34">
                  <c:v>0.2</c:v>
                </c:pt>
                <c:pt idx="35">
                  <c:v>0.25</c:v>
                </c:pt>
                <c:pt idx="36">
                  <c:v>1E-3</c:v>
                </c:pt>
                <c:pt idx="37">
                  <c:v>2E-3</c:v>
                </c:pt>
                <c:pt idx="38">
                  <c:v>2E-3</c:v>
                </c:pt>
                <c:pt idx="39">
                  <c:v>8.0000000000000002E-3</c:v>
                </c:pt>
                <c:pt idx="40">
                  <c:v>8.0000000000000002E-3</c:v>
                </c:pt>
                <c:pt idx="41">
                  <c:v>8.9999999999999993E-3</c:v>
                </c:pt>
                <c:pt idx="42">
                  <c:v>8.9999999999999993E-3</c:v>
                </c:pt>
                <c:pt idx="43">
                  <c:v>8.9999999999999993E-3</c:v>
                </c:pt>
                <c:pt idx="44">
                  <c:v>0.01</c:v>
                </c:pt>
                <c:pt idx="45">
                  <c:v>1.9E-2</c:v>
                </c:pt>
                <c:pt idx="46">
                  <c:v>0.05</c:v>
                </c:pt>
                <c:pt idx="47">
                  <c:v>0.05</c:v>
                </c:pt>
                <c:pt idx="48">
                  <c:v>0.05</c:v>
                </c:pt>
                <c:pt idx="49">
                  <c:v>0.06</c:v>
                </c:pt>
                <c:pt idx="50">
                  <c:v>0.06</c:v>
                </c:pt>
                <c:pt idx="51">
                  <c:v>0.06</c:v>
                </c:pt>
                <c:pt idx="52">
                  <c:v>7.0000000000000007E-2</c:v>
                </c:pt>
                <c:pt idx="53">
                  <c:v>7.2000000000000008E-2</c:v>
                </c:pt>
                <c:pt idx="54">
                  <c:v>0.09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0.12</c:v>
                </c:pt>
                <c:pt idx="59">
                  <c:v>0.12</c:v>
                </c:pt>
                <c:pt idx="60">
                  <c:v>0.12</c:v>
                </c:pt>
                <c:pt idx="61">
                  <c:v>0.15</c:v>
                </c:pt>
                <c:pt idx="62">
                  <c:v>0.161</c:v>
                </c:pt>
                <c:pt idx="63">
                  <c:v>0.19</c:v>
                </c:pt>
                <c:pt idx="64">
                  <c:v>0.2</c:v>
                </c:pt>
                <c:pt idx="65">
                  <c:v>0.2</c:v>
                </c:pt>
                <c:pt idx="66">
                  <c:v>0.2</c:v>
                </c:pt>
                <c:pt idx="67">
                  <c:v>0.2</c:v>
                </c:pt>
                <c:pt idx="68">
                  <c:v>0.2</c:v>
                </c:pt>
                <c:pt idx="69">
                  <c:v>0.25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0.35</c:v>
                </c:pt>
                <c:pt idx="75">
                  <c:v>0.35399999999999998</c:v>
                </c:pt>
                <c:pt idx="76">
                  <c:v>0.39200000000000002</c:v>
                </c:pt>
                <c:pt idx="77">
                  <c:v>0.4</c:v>
                </c:pt>
                <c:pt idx="78">
                  <c:v>0.4</c:v>
                </c:pt>
                <c:pt idx="79">
                  <c:v>0.4</c:v>
                </c:pt>
                <c:pt idx="80">
                  <c:v>0.25</c:v>
                </c:pt>
                <c:pt idx="81">
                  <c:v>0.1</c:v>
                </c:pt>
                <c:pt idx="82">
                  <c:v>0.15</c:v>
                </c:pt>
                <c:pt idx="83">
                  <c:v>0.2</c:v>
                </c:pt>
                <c:pt idx="84">
                  <c:v>0.15</c:v>
                </c:pt>
                <c:pt idx="85">
                  <c:v>0.2</c:v>
                </c:pt>
                <c:pt idx="86">
                  <c:v>0.15</c:v>
                </c:pt>
                <c:pt idx="87">
                  <c:v>0.2</c:v>
                </c:pt>
              </c:numCache>
            </c:numRef>
          </c:xVal>
          <c:yVal>
            <c:numRef>
              <c:f>'Res, Cap, Agg, Pro Costs'!$Y$3:$Y$100</c:f>
              <c:numCache>
                <c:formatCode>0.00</c:formatCode>
                <c:ptCount val="98"/>
                <c:pt idx="0">
                  <c:v>-1.3352101610580069</c:v>
                </c:pt>
                <c:pt idx="1">
                  <c:v>0</c:v>
                </c:pt>
                <c:pt idx="2">
                  <c:v>0</c:v>
                </c:pt>
                <c:pt idx="3">
                  <c:v>2.4086453289240581</c:v>
                </c:pt>
                <c:pt idx="4">
                  <c:v>5.8840161569532601</c:v>
                </c:pt>
                <c:pt idx="5">
                  <c:v>6.8116232464929869</c:v>
                </c:pt>
                <c:pt idx="6">
                  <c:v>3.3723955462462798</c:v>
                </c:pt>
                <c:pt idx="7">
                  <c:v>2.2023758099352051</c:v>
                </c:pt>
                <c:pt idx="8">
                  <c:v>3.2042526448098885</c:v>
                </c:pt>
                <c:pt idx="9">
                  <c:v>5.2030819471374636</c:v>
                </c:pt>
                <c:pt idx="10">
                  <c:v>-20.473485295854495</c:v>
                </c:pt>
                <c:pt idx="11">
                  <c:v>-7.0608193883439121</c:v>
                </c:pt>
                <c:pt idx="12">
                  <c:v>-18.164328657314631</c:v>
                </c:pt>
                <c:pt idx="13">
                  <c:v>-5.6206592437438001</c:v>
                </c:pt>
                <c:pt idx="14">
                  <c:v>-5.5059395248380127</c:v>
                </c:pt>
                <c:pt idx="15">
                  <c:v>-5.3404210746831469</c:v>
                </c:pt>
                <c:pt idx="16">
                  <c:v>-2.0812327788549854</c:v>
                </c:pt>
                <c:pt idx="17">
                  <c:v>8.611118930330754</c:v>
                </c:pt>
                <c:pt idx="18">
                  <c:v>14.249351563285414</c:v>
                </c:pt>
                <c:pt idx="19">
                  <c:v>17.119724540062332</c:v>
                </c:pt>
                <c:pt idx="20">
                  <c:v>10.456358701115914</c:v>
                </c:pt>
                <c:pt idx="21">
                  <c:v>19.887584196240073</c:v>
                </c:pt>
                <c:pt idx="22">
                  <c:v>24.705710264401329</c:v>
                </c:pt>
                <c:pt idx="23">
                  <c:v>15.582024731074696</c:v>
                </c:pt>
                <c:pt idx="24">
                  <c:v>19.169990952045843</c:v>
                </c:pt>
                <c:pt idx="25">
                  <c:v>22.347903890620291</c:v>
                </c:pt>
                <c:pt idx="26">
                  <c:v>25.320790187996383</c:v>
                </c:pt>
                <c:pt idx="27">
                  <c:v>27.473569920579074</c:v>
                </c:pt>
                <c:pt idx="28">
                  <c:v>32.496722629938674</c:v>
                </c:pt>
                <c:pt idx="29">
                  <c:v>37.62238865989746</c:v>
                </c:pt>
                <c:pt idx="30">
                  <c:v>45.823454307831511</c:v>
                </c:pt>
                <c:pt idx="31">
                  <c:v>13.839298280888711</c:v>
                </c:pt>
                <c:pt idx="32">
                  <c:v>28.088649844174125</c:v>
                </c:pt>
                <c:pt idx="33">
                  <c:v>34.239449080124665</c:v>
                </c:pt>
                <c:pt idx="34">
                  <c:v>50.436553734794416</c:v>
                </c:pt>
                <c:pt idx="35">
                  <c:v>102.51332059917564</c:v>
                </c:pt>
                <c:pt idx="36">
                  <c:v>2.7531900000000005</c:v>
                </c:pt>
                <c:pt idx="37">
                  <c:v>-6.8319900000000002</c:v>
                </c:pt>
                <c:pt idx="38">
                  <c:v>-1.3256100000000002</c:v>
                </c:pt>
                <c:pt idx="39">
                  <c:v>-3.46698</c:v>
                </c:pt>
                <c:pt idx="40">
                  <c:v>-1.3256100000000002</c:v>
                </c:pt>
                <c:pt idx="41">
                  <c:v>-9.9930600000000016</c:v>
                </c:pt>
                <c:pt idx="42">
                  <c:v>7.2398699999999998</c:v>
                </c:pt>
                <c:pt idx="43">
                  <c:v>9.5851800000000011</c:v>
                </c:pt>
                <c:pt idx="44">
                  <c:v>2.6512200000000004</c:v>
                </c:pt>
                <c:pt idx="45">
                  <c:v>-1.3256100000000002</c:v>
                </c:pt>
                <c:pt idx="46">
                  <c:v>-3.46698</c:v>
                </c:pt>
                <c:pt idx="47">
                  <c:v>4.4866800000000007</c:v>
                </c:pt>
                <c:pt idx="48">
                  <c:v>8.6674500000000005</c:v>
                </c:pt>
                <c:pt idx="49">
                  <c:v>2.1413700000000002</c:v>
                </c:pt>
                <c:pt idx="50">
                  <c:v>3.0590999999999999</c:v>
                </c:pt>
                <c:pt idx="51">
                  <c:v>9.38124</c:v>
                </c:pt>
                <c:pt idx="52">
                  <c:v>7.1379000000000001</c:v>
                </c:pt>
                <c:pt idx="53">
                  <c:v>1.1216700000000002</c:v>
                </c:pt>
                <c:pt idx="54">
                  <c:v>1.2236400000000001</c:v>
                </c:pt>
                <c:pt idx="55">
                  <c:v>7.6477500000000003</c:v>
                </c:pt>
                <c:pt idx="56">
                  <c:v>9.38124</c:v>
                </c:pt>
                <c:pt idx="57">
                  <c:v>11.726550000000001</c:v>
                </c:pt>
                <c:pt idx="58">
                  <c:v>11.420640000000001</c:v>
                </c:pt>
                <c:pt idx="59">
                  <c:v>13.052160000000001</c:v>
                </c:pt>
                <c:pt idx="60">
                  <c:v>17.844750000000001</c:v>
                </c:pt>
                <c:pt idx="61">
                  <c:v>11.828520000000001</c:v>
                </c:pt>
                <c:pt idx="62">
                  <c:v>17.436870000000003</c:v>
                </c:pt>
                <c:pt idx="63">
                  <c:v>4.69062</c:v>
                </c:pt>
                <c:pt idx="64">
                  <c:v>4.69062</c:v>
                </c:pt>
                <c:pt idx="65">
                  <c:v>12.950189999999999</c:v>
                </c:pt>
                <c:pt idx="66">
                  <c:v>18.150660000000002</c:v>
                </c:pt>
                <c:pt idx="67">
                  <c:v>25.186589999999999</c:v>
                </c:pt>
                <c:pt idx="68">
                  <c:v>39.462390000000006</c:v>
                </c:pt>
                <c:pt idx="69">
                  <c:v>13.969889999999999</c:v>
                </c:pt>
                <c:pt idx="70">
                  <c:v>10.706850000000001</c:v>
                </c:pt>
                <c:pt idx="71">
                  <c:v>15.90732</c:v>
                </c:pt>
                <c:pt idx="72">
                  <c:v>18.048690000000001</c:v>
                </c:pt>
                <c:pt idx="73">
                  <c:v>24.574770000000004</c:v>
                </c:pt>
                <c:pt idx="74">
                  <c:v>21.719610000000003</c:v>
                </c:pt>
                <c:pt idx="75">
                  <c:v>21.005820000000003</c:v>
                </c:pt>
                <c:pt idx="76">
                  <c:v>17.334900000000001</c:v>
                </c:pt>
                <c:pt idx="77">
                  <c:v>19.374300000000002</c:v>
                </c:pt>
                <c:pt idx="78">
                  <c:v>21.005820000000003</c:v>
                </c:pt>
                <c:pt idx="79">
                  <c:v>21.617640000000002</c:v>
                </c:pt>
                <c:pt idx="80">
                  <c:v>11.454299999999998</c:v>
                </c:pt>
                <c:pt idx="81">
                  <c:v>1.5619499999999999</c:v>
                </c:pt>
                <c:pt idx="82">
                  <c:v>3.956544345565443</c:v>
                </c:pt>
                <c:pt idx="83">
                  <c:v>3.6441855814418558</c:v>
                </c:pt>
                <c:pt idx="84">
                  <c:v>0.10411958804119588</c:v>
                </c:pt>
                <c:pt idx="85">
                  <c:v>0.41647835216478352</c:v>
                </c:pt>
                <c:pt idx="86">
                  <c:v>0</c:v>
                </c:pt>
                <c:pt idx="8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6E8-2242-81F7-2F20F398CF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445440"/>
        <c:axId val="144447744"/>
      </c:scatterChart>
      <c:valAx>
        <c:axId val="14444544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/>
                  <a:t>VRE penetration (% of annual energy)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%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47744"/>
        <c:crosses val="autoZero"/>
        <c:crossBetween val="midCat"/>
      </c:valAx>
      <c:valAx>
        <c:axId val="144447744"/>
        <c:scaling>
          <c:orientation val="minMax"/>
          <c:max val="105"/>
          <c:min val="-25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/>
                  <a:t>Costs</a:t>
                </a:r>
                <a:r>
                  <a:rPr lang="en-GB" sz="1400" b="1" baseline="0"/>
                  <a:t> (2017 €/MWh)</a:t>
                </a:r>
                <a:endParaRPr lang="en-GB" sz="14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45440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362157034332552"/>
          <c:y val="7.075285049444878E-2"/>
          <c:w val="0.19853158076966521"/>
          <c:h val="0.1793475968148660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Operating Reserves</a:t>
            </a:r>
            <a:r>
              <a:rPr lang="en-US" baseline="0"/>
              <a:t> as a function of VRE Penetration Level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53582875004946"/>
          <c:y val="0.1433859095688749"/>
          <c:w val="0.86182214660353385"/>
          <c:h val="0.73377480811743956"/>
        </c:manualLayout>
      </c:layout>
      <c:scatterChart>
        <c:scatterStyle val="lineMarker"/>
        <c:varyColors val="0"/>
        <c:ser>
          <c:idx val="1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'OP RES COSTS'!$B$3:$B$130</c:f>
              <c:numCache>
                <c:formatCode>General</c:formatCode>
                <c:ptCount val="128"/>
                <c:pt idx="0">
                  <c:v>0.4</c:v>
                </c:pt>
                <c:pt idx="1">
                  <c:v>0.8</c:v>
                </c:pt>
                <c:pt idx="2">
                  <c:v>0.04</c:v>
                </c:pt>
                <c:pt idx="3">
                  <c:v>0.08</c:v>
                </c:pt>
                <c:pt idx="4">
                  <c:v>0.12</c:v>
                </c:pt>
                <c:pt idx="5">
                  <c:v>0.16</c:v>
                </c:pt>
                <c:pt idx="6">
                  <c:v>0.2</c:v>
                </c:pt>
                <c:pt idx="7">
                  <c:v>0.04</c:v>
                </c:pt>
                <c:pt idx="8">
                  <c:v>0.08</c:v>
                </c:pt>
                <c:pt idx="9">
                  <c:v>0.12</c:v>
                </c:pt>
                <c:pt idx="10">
                  <c:v>0.16</c:v>
                </c:pt>
                <c:pt idx="11">
                  <c:v>0.2</c:v>
                </c:pt>
                <c:pt idx="12">
                  <c:v>0.33</c:v>
                </c:pt>
                <c:pt idx="13">
                  <c:v>0.05</c:v>
                </c:pt>
                <c:pt idx="14">
                  <c:v>0.1</c:v>
                </c:pt>
                <c:pt idx="15">
                  <c:v>0.15</c:v>
                </c:pt>
                <c:pt idx="16">
                  <c:v>0.2</c:v>
                </c:pt>
                <c:pt idx="17">
                  <c:v>0.25</c:v>
                </c:pt>
                <c:pt idx="18">
                  <c:v>0.3</c:v>
                </c:pt>
                <c:pt idx="19">
                  <c:v>0.35</c:v>
                </c:pt>
                <c:pt idx="20">
                  <c:v>0.4</c:v>
                </c:pt>
                <c:pt idx="39">
                  <c:v>0.27100000000000002</c:v>
                </c:pt>
                <c:pt idx="40">
                  <c:v>0.32600000000000001</c:v>
                </c:pt>
                <c:pt idx="41">
                  <c:v>0.41699999999999998</c:v>
                </c:pt>
                <c:pt idx="42">
                  <c:v>0.05</c:v>
                </c:pt>
                <c:pt idx="43">
                  <c:v>0.1</c:v>
                </c:pt>
                <c:pt idx="44">
                  <c:v>0.15</c:v>
                </c:pt>
                <c:pt idx="45">
                  <c:v>0.2</c:v>
                </c:pt>
                <c:pt idx="46">
                  <c:v>5.2999999999999999E-2</c:v>
                </c:pt>
                <c:pt idx="47">
                  <c:v>7.5999999999999998E-2</c:v>
                </c:pt>
                <c:pt idx="48">
                  <c:v>0.15</c:v>
                </c:pt>
                <c:pt idx="49">
                  <c:v>0.2</c:v>
                </c:pt>
                <c:pt idx="50">
                  <c:v>0.25</c:v>
                </c:pt>
                <c:pt idx="51">
                  <c:v>0.02</c:v>
                </c:pt>
                <c:pt idx="52">
                  <c:v>0.15</c:v>
                </c:pt>
                <c:pt idx="53">
                  <c:v>5.2999999999999999E-2</c:v>
                </c:pt>
                <c:pt idx="54">
                  <c:v>7.4999999999999997E-2</c:v>
                </c:pt>
                <c:pt idx="55">
                  <c:v>0.2</c:v>
                </c:pt>
                <c:pt idx="56">
                  <c:v>0.3</c:v>
                </c:pt>
                <c:pt idx="57">
                  <c:v>0.1</c:v>
                </c:pt>
                <c:pt idx="58">
                  <c:v>0.3</c:v>
                </c:pt>
                <c:pt idx="59">
                  <c:v>0.1</c:v>
                </c:pt>
                <c:pt idx="60">
                  <c:v>0.3</c:v>
                </c:pt>
                <c:pt idx="61">
                  <c:v>0.1</c:v>
                </c:pt>
                <c:pt idx="62">
                  <c:v>0.3</c:v>
                </c:pt>
                <c:pt idx="63">
                  <c:v>0.1</c:v>
                </c:pt>
                <c:pt idx="64">
                  <c:v>0.3</c:v>
                </c:pt>
                <c:pt idx="65">
                  <c:v>0.1</c:v>
                </c:pt>
                <c:pt idx="66">
                  <c:v>0.3</c:v>
                </c:pt>
                <c:pt idx="67">
                  <c:v>0.1</c:v>
                </c:pt>
                <c:pt idx="68">
                  <c:v>0.3</c:v>
                </c:pt>
                <c:pt idx="69">
                  <c:v>0.1</c:v>
                </c:pt>
                <c:pt idx="70">
                  <c:v>0.3</c:v>
                </c:pt>
                <c:pt idx="71">
                  <c:v>0.1</c:v>
                </c:pt>
                <c:pt idx="72">
                  <c:v>0.3</c:v>
                </c:pt>
                <c:pt idx="73">
                  <c:v>0.1</c:v>
                </c:pt>
                <c:pt idx="74">
                  <c:v>0.3</c:v>
                </c:pt>
                <c:pt idx="75">
                  <c:v>0.1</c:v>
                </c:pt>
                <c:pt idx="76">
                  <c:v>0.3</c:v>
                </c:pt>
                <c:pt idx="77">
                  <c:v>0.1</c:v>
                </c:pt>
                <c:pt idx="78">
                  <c:v>0.3</c:v>
                </c:pt>
                <c:pt idx="79">
                  <c:v>0.1</c:v>
                </c:pt>
                <c:pt idx="80">
                  <c:v>0.3</c:v>
                </c:pt>
                <c:pt idx="81">
                  <c:v>0.1</c:v>
                </c:pt>
                <c:pt idx="82">
                  <c:v>0.3</c:v>
                </c:pt>
                <c:pt idx="83">
                  <c:v>0.1</c:v>
                </c:pt>
                <c:pt idx="84">
                  <c:v>0.3</c:v>
                </c:pt>
                <c:pt idx="85">
                  <c:v>0.1</c:v>
                </c:pt>
                <c:pt idx="86">
                  <c:v>0.3</c:v>
                </c:pt>
                <c:pt idx="87">
                  <c:v>0.1</c:v>
                </c:pt>
                <c:pt idx="88">
                  <c:v>0.3</c:v>
                </c:pt>
                <c:pt idx="89">
                  <c:v>0.1</c:v>
                </c:pt>
                <c:pt idx="90">
                  <c:v>0.3</c:v>
                </c:pt>
                <c:pt idx="91">
                  <c:v>0.1</c:v>
                </c:pt>
                <c:pt idx="92">
                  <c:v>0.3</c:v>
                </c:pt>
                <c:pt idx="93">
                  <c:v>0.05</c:v>
                </c:pt>
                <c:pt idx="94">
                  <c:v>0.1</c:v>
                </c:pt>
                <c:pt idx="95">
                  <c:v>0.15</c:v>
                </c:pt>
                <c:pt idx="96">
                  <c:v>0.2</c:v>
                </c:pt>
                <c:pt idx="97">
                  <c:v>5.3999999999999999E-2</c:v>
                </c:pt>
                <c:pt idx="98">
                  <c:v>7.4999999999999997E-2</c:v>
                </c:pt>
                <c:pt idx="99">
                  <c:v>0.15</c:v>
                </c:pt>
                <c:pt idx="100">
                  <c:v>0.2</c:v>
                </c:pt>
                <c:pt idx="101">
                  <c:v>0.25</c:v>
                </c:pt>
                <c:pt idx="102">
                  <c:v>0.02</c:v>
                </c:pt>
                <c:pt idx="103">
                  <c:v>0.105</c:v>
                </c:pt>
                <c:pt idx="104">
                  <c:v>0.105</c:v>
                </c:pt>
                <c:pt idx="105">
                  <c:v>0.28299999999999997</c:v>
                </c:pt>
                <c:pt idx="106">
                  <c:v>0.28299999999999997</c:v>
                </c:pt>
                <c:pt idx="107">
                  <c:v>0.112</c:v>
                </c:pt>
                <c:pt idx="108">
                  <c:v>0.224</c:v>
                </c:pt>
                <c:pt idx="109">
                  <c:v>9.7000000000000003E-2</c:v>
                </c:pt>
                <c:pt idx="110">
                  <c:v>0.19600000000000001</c:v>
                </c:pt>
                <c:pt idx="111">
                  <c:v>9.7000000000000003E-2</c:v>
                </c:pt>
                <c:pt idx="112">
                  <c:v>0.19600000000000001</c:v>
                </c:pt>
                <c:pt idx="113">
                  <c:v>0.35</c:v>
                </c:pt>
                <c:pt idx="114">
                  <c:v>0.35</c:v>
                </c:pt>
                <c:pt idx="115">
                  <c:v>0.19</c:v>
                </c:pt>
                <c:pt idx="116">
                  <c:v>0.19</c:v>
                </c:pt>
                <c:pt idx="117">
                  <c:v>0.25</c:v>
                </c:pt>
                <c:pt idx="118">
                  <c:v>0.25</c:v>
                </c:pt>
                <c:pt idx="119">
                  <c:v>0.2</c:v>
                </c:pt>
                <c:pt idx="120">
                  <c:v>0.25</c:v>
                </c:pt>
                <c:pt idx="121">
                  <c:v>0.2</c:v>
                </c:pt>
                <c:pt idx="122">
                  <c:v>0.2</c:v>
                </c:pt>
                <c:pt idx="123">
                  <c:v>0.08</c:v>
                </c:pt>
                <c:pt idx="124">
                  <c:v>1.2500000000000001E-2</c:v>
                </c:pt>
                <c:pt idx="125">
                  <c:v>2.5000000000000001E-2</c:v>
                </c:pt>
                <c:pt idx="126">
                  <c:v>0.05</c:v>
                </c:pt>
                <c:pt idx="127">
                  <c:v>0.1</c:v>
                </c:pt>
              </c:numCache>
            </c:numRef>
          </c:xVal>
          <c:yVal>
            <c:numRef>
              <c:f>'OP RES COSTS'!$E$3:$E$130</c:f>
              <c:numCache>
                <c:formatCode>General</c:formatCode>
                <c:ptCount val="128"/>
                <c:pt idx="0">
                  <c:v>36.861223944862608</c:v>
                </c:pt>
                <c:pt idx="1">
                  <c:v>24.811600133210828</c:v>
                </c:pt>
                <c:pt idx="2">
                  <c:v>4.8348210011401202E-2</c:v>
                </c:pt>
                <c:pt idx="3">
                  <c:v>0.19339284004560481</c:v>
                </c:pt>
                <c:pt idx="4">
                  <c:v>0.36261157508550906</c:v>
                </c:pt>
                <c:pt idx="5">
                  <c:v>0.53183031012541326</c:v>
                </c:pt>
                <c:pt idx="6">
                  <c:v>0.72522315017101813</c:v>
                </c:pt>
                <c:pt idx="7">
                  <c:v>0.12087052502850301</c:v>
                </c:pt>
                <c:pt idx="8">
                  <c:v>0.36261157508550906</c:v>
                </c:pt>
                <c:pt idx="9">
                  <c:v>0.6527008351539163</c:v>
                </c:pt>
                <c:pt idx="10">
                  <c:v>0.99113830523372448</c:v>
                </c:pt>
                <c:pt idx="11">
                  <c:v>1.3295757753135331</c:v>
                </c:pt>
                <c:pt idx="12">
                  <c:v>28.430270939888118</c:v>
                </c:pt>
                <c:pt idx="13">
                  <c:v>4.7305576087054089</c:v>
                </c:pt>
                <c:pt idx="14">
                  <c:v>5.8195653895157893</c:v>
                </c:pt>
                <c:pt idx="15">
                  <c:v>5.9348043081200617</c:v>
                </c:pt>
                <c:pt idx="16">
                  <c:v>5.9535306323932558</c:v>
                </c:pt>
                <c:pt idx="17">
                  <c:v>6.5527730091354766</c:v>
                </c:pt>
                <c:pt idx="18">
                  <c:v>7.0540623050640638</c:v>
                </c:pt>
                <c:pt idx="19">
                  <c:v>6.8855253866053161</c:v>
                </c:pt>
                <c:pt idx="20">
                  <c:v>7.5726374387832927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9.0364427705499697</c:v>
                </c:pt>
                <c:pt idx="40">
                  <c:v>10.642921485314407</c:v>
                </c:pt>
                <c:pt idx="41">
                  <c:v>13.052639557461067</c:v>
                </c:pt>
                <c:pt idx="42">
                  <c:v>2.2114349750570299</c:v>
                </c:pt>
                <c:pt idx="43">
                  <c:v>3.7910313858120515</c:v>
                </c:pt>
                <c:pt idx="44">
                  <c:v>4.5808295911895627</c:v>
                </c:pt>
                <c:pt idx="45">
                  <c:v>5.3706277965670735</c:v>
                </c:pt>
                <c:pt idx="46">
                  <c:v>4.4228699501140598</c:v>
                </c:pt>
                <c:pt idx="47">
                  <c:v>6.0024663608690823</c:v>
                </c:pt>
                <c:pt idx="48">
                  <c:v>3.6330717447365495</c:v>
                </c:pt>
                <c:pt idx="49">
                  <c:v>4.8967488733405666</c:v>
                </c:pt>
                <c:pt idx="50">
                  <c:v>5.3706277965670735</c:v>
                </c:pt>
                <c:pt idx="51">
                  <c:v>0.47387892322650643</c:v>
                </c:pt>
                <c:pt idx="52">
                  <c:v>6.0500432267243349</c:v>
                </c:pt>
                <c:pt idx="53">
                  <c:v>4.0333621511495563</c:v>
                </c:pt>
                <c:pt idx="54">
                  <c:v>5.4738486337029695</c:v>
                </c:pt>
                <c:pt idx="55">
                  <c:v>6.3381405232350181</c:v>
                </c:pt>
                <c:pt idx="56">
                  <c:v>7.7786270057884321</c:v>
                </c:pt>
                <c:pt idx="57">
                  <c:v>3.0728135584277703</c:v>
                </c:pt>
                <c:pt idx="58">
                  <c:v>6.0318192072841414</c:v>
                </c:pt>
                <c:pt idx="59">
                  <c:v>3.0728135584277703</c:v>
                </c:pt>
                <c:pt idx="60">
                  <c:v>6.0318192072841414</c:v>
                </c:pt>
                <c:pt idx="61">
                  <c:v>3.0728135584277703</c:v>
                </c:pt>
                <c:pt idx="62">
                  <c:v>6.0318192072841414</c:v>
                </c:pt>
                <c:pt idx="63">
                  <c:v>2.162350281856579</c:v>
                </c:pt>
                <c:pt idx="64">
                  <c:v>5.7017762695270839</c:v>
                </c:pt>
                <c:pt idx="65">
                  <c:v>2.162350281856579</c:v>
                </c:pt>
                <c:pt idx="66">
                  <c:v>5.7017762695270839</c:v>
                </c:pt>
                <c:pt idx="67">
                  <c:v>2.162350281856579</c:v>
                </c:pt>
                <c:pt idx="68">
                  <c:v>5.7017762695270839</c:v>
                </c:pt>
                <c:pt idx="69">
                  <c:v>3.7556610158561634</c:v>
                </c:pt>
                <c:pt idx="70">
                  <c:v>7.2950870035266693</c:v>
                </c:pt>
                <c:pt idx="71">
                  <c:v>3.7556610158561634</c:v>
                </c:pt>
                <c:pt idx="72">
                  <c:v>7.2950870035266693</c:v>
                </c:pt>
                <c:pt idx="73">
                  <c:v>3.7556610158561634</c:v>
                </c:pt>
                <c:pt idx="74">
                  <c:v>7.2950870035266693</c:v>
                </c:pt>
                <c:pt idx="75">
                  <c:v>8.6835435002977359</c:v>
                </c:pt>
                <c:pt idx="76">
                  <c:v>16.103819204352941</c:v>
                </c:pt>
                <c:pt idx="77">
                  <c:v>8.6835435002977359</c:v>
                </c:pt>
                <c:pt idx="78">
                  <c:v>16.103819204352941</c:v>
                </c:pt>
                <c:pt idx="79">
                  <c:v>8.6835435002977359</c:v>
                </c:pt>
                <c:pt idx="80">
                  <c:v>16.103819204352941</c:v>
                </c:pt>
                <c:pt idx="81">
                  <c:v>8.6835435002977359</c:v>
                </c:pt>
                <c:pt idx="82">
                  <c:v>16.103819204352941</c:v>
                </c:pt>
                <c:pt idx="83">
                  <c:v>8.6835435002977359</c:v>
                </c:pt>
                <c:pt idx="84">
                  <c:v>16.103819204352941</c:v>
                </c:pt>
                <c:pt idx="85">
                  <c:v>8.6835435002977359</c:v>
                </c:pt>
                <c:pt idx="86">
                  <c:v>16.103819204352941</c:v>
                </c:pt>
                <c:pt idx="87">
                  <c:v>2.2761581914279776</c:v>
                </c:pt>
                <c:pt idx="88">
                  <c:v>5.6903954785699442</c:v>
                </c:pt>
                <c:pt idx="89">
                  <c:v>2.2761581914279776</c:v>
                </c:pt>
                <c:pt idx="90">
                  <c:v>5.6903954785699442</c:v>
                </c:pt>
                <c:pt idx="91">
                  <c:v>2.2761581914279776</c:v>
                </c:pt>
                <c:pt idx="92">
                  <c:v>5.6903954785699442</c:v>
                </c:pt>
                <c:pt idx="93">
                  <c:v>2.1011759357643571</c:v>
                </c:pt>
                <c:pt idx="94">
                  <c:v>3.526973892175886</c:v>
                </c:pt>
                <c:pt idx="95">
                  <c:v>4.4124694651051506</c:v>
                </c:pt>
                <c:pt idx="96">
                  <c:v>5.0128054467521102</c:v>
                </c:pt>
                <c:pt idx="97">
                  <c:v>4.2623854696934105</c:v>
                </c:pt>
                <c:pt idx="98">
                  <c:v>5.7182002251872879</c:v>
                </c:pt>
                <c:pt idx="99">
                  <c:v>3.4669402940111897</c:v>
                </c:pt>
                <c:pt idx="100">
                  <c:v>4.6375954582227603</c:v>
                </c:pt>
                <c:pt idx="101">
                  <c:v>5.0878474444579807</c:v>
                </c:pt>
                <c:pt idx="102">
                  <c:v>0.51028558439991545</c:v>
                </c:pt>
                <c:pt idx="103">
                  <c:v>4.0672762756581493</c:v>
                </c:pt>
                <c:pt idx="104">
                  <c:v>3.5870074903405818</c:v>
                </c:pt>
                <c:pt idx="105">
                  <c:v>2.9866715086936222</c:v>
                </c:pt>
                <c:pt idx="106">
                  <c:v>1.6209071504467902</c:v>
                </c:pt>
                <c:pt idx="107">
                  <c:v>0.72040317797635112</c:v>
                </c:pt>
                <c:pt idx="108">
                  <c:v>1.2607055614586145</c:v>
                </c:pt>
                <c:pt idx="109">
                  <c:v>0.58532758210578539</c:v>
                </c:pt>
                <c:pt idx="110">
                  <c:v>0.4802687853175675</c:v>
                </c:pt>
                <c:pt idx="111">
                  <c:v>0.84047037430574301</c:v>
                </c:pt>
                <c:pt idx="112">
                  <c:v>1.2306887623762666</c:v>
                </c:pt>
                <c:pt idx="113">
                  <c:v>3.7136550432722584</c:v>
                </c:pt>
                <c:pt idx="114">
                  <c:v>8.9746663545746248</c:v>
                </c:pt>
                <c:pt idx="115">
                  <c:v>4.1778619236812915</c:v>
                </c:pt>
                <c:pt idx="116">
                  <c:v>7.4273100865445167</c:v>
                </c:pt>
                <c:pt idx="117">
                  <c:v>-0.15473562680301078</c:v>
                </c:pt>
                <c:pt idx="118">
                  <c:v>0.30947125360602157</c:v>
                </c:pt>
                <c:pt idx="119">
                  <c:v>5.261011311302366</c:v>
                </c:pt>
                <c:pt idx="120">
                  <c:v>0.77367813401505392</c:v>
                </c:pt>
                <c:pt idx="121">
                  <c:v>1.5473562680301078</c:v>
                </c:pt>
                <c:pt idx="122">
                  <c:v>6.4988963257264531</c:v>
                </c:pt>
                <c:pt idx="123">
                  <c:v>3.4041837896662375</c:v>
                </c:pt>
                <c:pt idx="124">
                  <c:v>0.30947125360602157</c:v>
                </c:pt>
                <c:pt idx="125">
                  <c:v>0.49515400576963453</c:v>
                </c:pt>
                <c:pt idx="126">
                  <c:v>0.86651951009686057</c:v>
                </c:pt>
                <c:pt idx="127">
                  <c:v>1.5937769560710111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37-499D-91C4-0F49FB843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4613744"/>
        <c:axId val="504618992"/>
      </c:scatterChart>
      <c:valAx>
        <c:axId val="50461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VRE Penetration Level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618992"/>
        <c:crosses val="autoZero"/>
        <c:crossBetween val="midCat"/>
      </c:valAx>
      <c:valAx>
        <c:axId val="50461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Operating Reserve Costs (2023 USD/MWh)</a:t>
                </a:r>
              </a:p>
            </c:rich>
          </c:tx>
          <c:layout>
            <c:manualLayout>
              <c:xMode val="edge"/>
              <c:yMode val="edge"/>
              <c:x val="1.8444543324199779E-2"/>
              <c:y val="0.248764599778266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613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0"/>
            <c:trendlineLbl>
              <c:layout>
                <c:manualLayout>
                  <c:x val="2.368166124344867E-3"/>
                  <c:y val="-0.209489608880857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'OP RES COSTS'!$B$3:$B$130</c:f>
              <c:numCache>
                <c:formatCode>General</c:formatCode>
                <c:ptCount val="128"/>
                <c:pt idx="0">
                  <c:v>0.4</c:v>
                </c:pt>
                <c:pt idx="1">
                  <c:v>0.8</c:v>
                </c:pt>
                <c:pt idx="2">
                  <c:v>0.04</c:v>
                </c:pt>
                <c:pt idx="3">
                  <c:v>0.08</c:v>
                </c:pt>
                <c:pt idx="4">
                  <c:v>0.12</c:v>
                </c:pt>
                <c:pt idx="5">
                  <c:v>0.16</c:v>
                </c:pt>
                <c:pt idx="6">
                  <c:v>0.2</c:v>
                </c:pt>
                <c:pt idx="7">
                  <c:v>0.04</c:v>
                </c:pt>
                <c:pt idx="8">
                  <c:v>0.08</c:v>
                </c:pt>
                <c:pt idx="9">
                  <c:v>0.12</c:v>
                </c:pt>
                <c:pt idx="10">
                  <c:v>0.16</c:v>
                </c:pt>
                <c:pt idx="11">
                  <c:v>0.2</c:v>
                </c:pt>
                <c:pt idx="12">
                  <c:v>0.33</c:v>
                </c:pt>
                <c:pt idx="13">
                  <c:v>0.05</c:v>
                </c:pt>
                <c:pt idx="14">
                  <c:v>0.1</c:v>
                </c:pt>
                <c:pt idx="15">
                  <c:v>0.15</c:v>
                </c:pt>
                <c:pt idx="16">
                  <c:v>0.2</c:v>
                </c:pt>
                <c:pt idx="17">
                  <c:v>0.25</c:v>
                </c:pt>
                <c:pt idx="18">
                  <c:v>0.3</c:v>
                </c:pt>
                <c:pt idx="19">
                  <c:v>0.35</c:v>
                </c:pt>
                <c:pt idx="20">
                  <c:v>0.4</c:v>
                </c:pt>
                <c:pt idx="39">
                  <c:v>0.27100000000000002</c:v>
                </c:pt>
                <c:pt idx="40">
                  <c:v>0.32600000000000001</c:v>
                </c:pt>
                <c:pt idx="41">
                  <c:v>0.41699999999999998</c:v>
                </c:pt>
                <c:pt idx="42">
                  <c:v>0.05</c:v>
                </c:pt>
                <c:pt idx="43">
                  <c:v>0.1</c:v>
                </c:pt>
                <c:pt idx="44">
                  <c:v>0.15</c:v>
                </c:pt>
                <c:pt idx="45">
                  <c:v>0.2</c:v>
                </c:pt>
                <c:pt idx="46">
                  <c:v>5.2999999999999999E-2</c:v>
                </c:pt>
                <c:pt idx="47">
                  <c:v>7.5999999999999998E-2</c:v>
                </c:pt>
                <c:pt idx="48">
                  <c:v>0.15</c:v>
                </c:pt>
                <c:pt idx="49">
                  <c:v>0.2</c:v>
                </c:pt>
                <c:pt idx="50">
                  <c:v>0.25</c:v>
                </c:pt>
                <c:pt idx="51">
                  <c:v>0.02</c:v>
                </c:pt>
                <c:pt idx="52">
                  <c:v>0.15</c:v>
                </c:pt>
                <c:pt idx="53">
                  <c:v>5.2999999999999999E-2</c:v>
                </c:pt>
                <c:pt idx="54">
                  <c:v>7.4999999999999997E-2</c:v>
                </c:pt>
                <c:pt idx="55">
                  <c:v>0.2</c:v>
                </c:pt>
                <c:pt idx="56">
                  <c:v>0.3</c:v>
                </c:pt>
                <c:pt idx="57">
                  <c:v>0.1</c:v>
                </c:pt>
                <c:pt idx="58">
                  <c:v>0.3</c:v>
                </c:pt>
                <c:pt idx="59">
                  <c:v>0.1</c:v>
                </c:pt>
                <c:pt idx="60">
                  <c:v>0.3</c:v>
                </c:pt>
                <c:pt idx="61">
                  <c:v>0.1</c:v>
                </c:pt>
                <c:pt idx="62">
                  <c:v>0.3</c:v>
                </c:pt>
                <c:pt idx="63">
                  <c:v>0.1</c:v>
                </c:pt>
                <c:pt idx="64">
                  <c:v>0.3</c:v>
                </c:pt>
                <c:pt idx="65">
                  <c:v>0.1</c:v>
                </c:pt>
                <c:pt idx="66">
                  <c:v>0.3</c:v>
                </c:pt>
                <c:pt idx="67">
                  <c:v>0.1</c:v>
                </c:pt>
                <c:pt idx="68">
                  <c:v>0.3</c:v>
                </c:pt>
                <c:pt idx="69">
                  <c:v>0.1</c:v>
                </c:pt>
                <c:pt idx="70">
                  <c:v>0.3</c:v>
                </c:pt>
                <c:pt idx="71">
                  <c:v>0.1</c:v>
                </c:pt>
                <c:pt idx="72">
                  <c:v>0.3</c:v>
                </c:pt>
                <c:pt idx="73">
                  <c:v>0.1</c:v>
                </c:pt>
                <c:pt idx="74">
                  <c:v>0.3</c:v>
                </c:pt>
                <c:pt idx="75">
                  <c:v>0.1</c:v>
                </c:pt>
                <c:pt idx="76">
                  <c:v>0.3</c:v>
                </c:pt>
                <c:pt idx="77">
                  <c:v>0.1</c:v>
                </c:pt>
                <c:pt idx="78">
                  <c:v>0.3</c:v>
                </c:pt>
                <c:pt idx="79">
                  <c:v>0.1</c:v>
                </c:pt>
                <c:pt idx="80">
                  <c:v>0.3</c:v>
                </c:pt>
                <c:pt idx="81">
                  <c:v>0.1</c:v>
                </c:pt>
                <c:pt idx="82">
                  <c:v>0.3</c:v>
                </c:pt>
                <c:pt idx="83">
                  <c:v>0.1</c:v>
                </c:pt>
                <c:pt idx="84">
                  <c:v>0.3</c:v>
                </c:pt>
                <c:pt idx="85">
                  <c:v>0.1</c:v>
                </c:pt>
                <c:pt idx="86">
                  <c:v>0.3</c:v>
                </c:pt>
                <c:pt idx="87">
                  <c:v>0.1</c:v>
                </c:pt>
                <c:pt idx="88">
                  <c:v>0.3</c:v>
                </c:pt>
                <c:pt idx="89">
                  <c:v>0.1</c:v>
                </c:pt>
                <c:pt idx="90">
                  <c:v>0.3</c:v>
                </c:pt>
                <c:pt idx="91">
                  <c:v>0.1</c:v>
                </c:pt>
                <c:pt idx="92">
                  <c:v>0.3</c:v>
                </c:pt>
                <c:pt idx="93">
                  <c:v>0.05</c:v>
                </c:pt>
                <c:pt idx="94">
                  <c:v>0.1</c:v>
                </c:pt>
                <c:pt idx="95">
                  <c:v>0.15</c:v>
                </c:pt>
                <c:pt idx="96">
                  <c:v>0.2</c:v>
                </c:pt>
                <c:pt idx="97">
                  <c:v>5.3999999999999999E-2</c:v>
                </c:pt>
                <c:pt idx="98">
                  <c:v>7.4999999999999997E-2</c:v>
                </c:pt>
                <c:pt idx="99">
                  <c:v>0.15</c:v>
                </c:pt>
                <c:pt idx="100">
                  <c:v>0.2</c:v>
                </c:pt>
                <c:pt idx="101">
                  <c:v>0.25</c:v>
                </c:pt>
                <c:pt idx="102">
                  <c:v>0.02</c:v>
                </c:pt>
                <c:pt idx="103">
                  <c:v>0.105</c:v>
                </c:pt>
                <c:pt idx="104">
                  <c:v>0.105</c:v>
                </c:pt>
                <c:pt idx="105">
                  <c:v>0.28299999999999997</c:v>
                </c:pt>
                <c:pt idx="106">
                  <c:v>0.28299999999999997</c:v>
                </c:pt>
                <c:pt idx="107">
                  <c:v>0.112</c:v>
                </c:pt>
                <c:pt idx="108">
                  <c:v>0.224</c:v>
                </c:pt>
                <c:pt idx="109">
                  <c:v>9.7000000000000003E-2</c:v>
                </c:pt>
                <c:pt idx="110">
                  <c:v>0.19600000000000001</c:v>
                </c:pt>
                <c:pt idx="111">
                  <c:v>9.7000000000000003E-2</c:v>
                </c:pt>
                <c:pt idx="112">
                  <c:v>0.19600000000000001</c:v>
                </c:pt>
                <c:pt idx="113">
                  <c:v>0.35</c:v>
                </c:pt>
                <c:pt idx="114">
                  <c:v>0.35</c:v>
                </c:pt>
                <c:pt idx="115">
                  <c:v>0.19</c:v>
                </c:pt>
                <c:pt idx="116">
                  <c:v>0.19</c:v>
                </c:pt>
                <c:pt idx="117">
                  <c:v>0.25</c:v>
                </c:pt>
                <c:pt idx="118">
                  <c:v>0.25</c:v>
                </c:pt>
                <c:pt idx="119">
                  <c:v>0.2</c:v>
                </c:pt>
                <c:pt idx="120">
                  <c:v>0.25</c:v>
                </c:pt>
                <c:pt idx="121">
                  <c:v>0.2</c:v>
                </c:pt>
                <c:pt idx="122">
                  <c:v>0.2</c:v>
                </c:pt>
                <c:pt idx="123">
                  <c:v>0.08</c:v>
                </c:pt>
                <c:pt idx="124">
                  <c:v>1.2500000000000001E-2</c:v>
                </c:pt>
                <c:pt idx="125">
                  <c:v>2.5000000000000001E-2</c:v>
                </c:pt>
                <c:pt idx="126">
                  <c:v>0.05</c:v>
                </c:pt>
                <c:pt idx="127">
                  <c:v>0.1</c:v>
                </c:pt>
              </c:numCache>
            </c:numRef>
          </c:xVal>
          <c:yVal>
            <c:numRef>
              <c:f>'OP RES COSTS'!$G$3:$G$130</c:f>
              <c:numCache>
                <c:formatCode>General</c:formatCode>
                <c:ptCount val="128"/>
                <c:pt idx="0">
                  <c:v>1.5874773447399919</c:v>
                </c:pt>
                <c:pt idx="1">
                  <c:v>1.0685443640487007</c:v>
                </c:pt>
                <c:pt idx="2">
                  <c:v>2.0821795870543153E-3</c:v>
                </c:pt>
                <c:pt idx="3">
                  <c:v>8.3287183482172612E-3</c:v>
                </c:pt>
                <c:pt idx="4">
                  <c:v>1.5616346902907368E-2</c:v>
                </c:pt>
                <c:pt idx="5">
                  <c:v>2.290397545759747E-2</c:v>
                </c:pt>
                <c:pt idx="6">
                  <c:v>3.1232693805814737E-2</c:v>
                </c:pt>
                <c:pt idx="7">
                  <c:v>5.2054489676357889E-3</c:v>
                </c:pt>
                <c:pt idx="8">
                  <c:v>1.5616346902907368E-2</c:v>
                </c:pt>
                <c:pt idx="9">
                  <c:v>2.8109424425233263E-2</c:v>
                </c:pt>
                <c:pt idx="10">
                  <c:v>4.268468153461346E-2</c:v>
                </c:pt>
                <c:pt idx="11">
                  <c:v>5.7259938643993674E-2</c:v>
                </c:pt>
                <c:pt idx="12">
                  <c:v>1.224387206713528</c:v>
                </c:pt>
                <c:pt idx="13">
                  <c:v>0.20372771785983673</c:v>
                </c:pt>
                <c:pt idx="14">
                  <c:v>0.25062727775692462</c:v>
                </c:pt>
                <c:pt idx="15">
                  <c:v>0.25559019414815082</c:v>
                </c:pt>
                <c:pt idx="16">
                  <c:v>0.25639666806172506</c:v>
                </c:pt>
                <c:pt idx="17">
                  <c:v>0.28220383329610149</c:v>
                </c:pt>
                <c:pt idx="18">
                  <c:v>0.30379251959793557</c:v>
                </c:pt>
                <c:pt idx="19">
                  <c:v>0.2965342543757673</c:v>
                </c:pt>
                <c:pt idx="20">
                  <c:v>0.32612564335845362</c:v>
                </c:pt>
                <c:pt idx="39">
                  <c:v>0.38916635532084282</c:v>
                </c:pt>
                <c:pt idx="40">
                  <c:v>0.45835148515565921</c:v>
                </c:pt>
                <c:pt idx="41">
                  <c:v>0.56212917990788402</c:v>
                </c:pt>
                <c:pt idx="42">
                  <c:v>9.523837101882128E-2</c:v>
                </c:pt>
                <c:pt idx="43">
                  <c:v>0.16326577888940791</c:v>
                </c:pt>
                <c:pt idx="44">
                  <c:v>0.19727948282470126</c:v>
                </c:pt>
                <c:pt idx="45">
                  <c:v>0.23129318675999455</c:v>
                </c:pt>
                <c:pt idx="46">
                  <c:v>0.19047674203764256</c:v>
                </c:pt>
                <c:pt idx="47">
                  <c:v>0.25850414990822923</c:v>
                </c:pt>
                <c:pt idx="48">
                  <c:v>0.15646303810234927</c:v>
                </c:pt>
                <c:pt idx="49">
                  <c:v>0.21088496439881857</c:v>
                </c:pt>
                <c:pt idx="50">
                  <c:v>0.23129318675999455</c:v>
                </c:pt>
                <c:pt idx="51">
                  <c:v>2.0408222361175989E-2</c:v>
                </c:pt>
                <c:pt idx="52">
                  <c:v>0.26055311053937708</c:v>
                </c:pt>
                <c:pt idx="53">
                  <c:v>0.17370207369291801</c:v>
                </c:pt>
                <c:pt idx="54">
                  <c:v>0.2357385285832459</c:v>
                </c:pt>
                <c:pt idx="55">
                  <c:v>0.27296040151744266</c:v>
                </c:pt>
                <c:pt idx="56">
                  <c:v>0.33499685640777055</c:v>
                </c:pt>
                <c:pt idx="57">
                  <c:v>0.13233477857139408</c:v>
                </c:pt>
                <c:pt idx="58">
                  <c:v>0.25976826904755135</c:v>
                </c:pt>
                <c:pt idx="59">
                  <c:v>0.13233477857139408</c:v>
                </c:pt>
                <c:pt idx="60">
                  <c:v>0.25976826904755135</c:v>
                </c:pt>
                <c:pt idx="61">
                  <c:v>0.13233477857139408</c:v>
                </c:pt>
                <c:pt idx="62">
                  <c:v>0.25976826904755135</c:v>
                </c:pt>
                <c:pt idx="63">
                  <c:v>9.3124473809499522E-2</c:v>
                </c:pt>
                <c:pt idx="64">
                  <c:v>0.24555453357136453</c:v>
                </c:pt>
                <c:pt idx="65">
                  <c:v>9.3124473809499522E-2</c:v>
                </c:pt>
                <c:pt idx="66">
                  <c:v>0.24555453357136453</c:v>
                </c:pt>
                <c:pt idx="67">
                  <c:v>9.3124473809499522E-2</c:v>
                </c:pt>
                <c:pt idx="68">
                  <c:v>0.24555453357136453</c:v>
                </c:pt>
                <c:pt idx="69">
                  <c:v>0.16174250714281496</c:v>
                </c:pt>
                <c:pt idx="70">
                  <c:v>0.31417256690467998</c:v>
                </c:pt>
                <c:pt idx="71">
                  <c:v>0.16174250714281496</c:v>
                </c:pt>
                <c:pt idx="72">
                  <c:v>0.31417256690467998</c:v>
                </c:pt>
                <c:pt idx="73">
                  <c:v>0.16174250714281496</c:v>
                </c:pt>
                <c:pt idx="74">
                  <c:v>0.31417256690467998</c:v>
                </c:pt>
                <c:pt idx="75">
                  <c:v>0.3739682816665692</c:v>
                </c:pt>
                <c:pt idx="76">
                  <c:v>0.69353226547600955</c:v>
                </c:pt>
                <c:pt idx="77">
                  <c:v>0.3739682816665692</c:v>
                </c:pt>
                <c:pt idx="78">
                  <c:v>0.69353226547600955</c:v>
                </c:pt>
                <c:pt idx="79">
                  <c:v>0.3739682816665692</c:v>
                </c:pt>
                <c:pt idx="80">
                  <c:v>0.69353226547600955</c:v>
                </c:pt>
                <c:pt idx="81">
                  <c:v>0.3739682816665692</c:v>
                </c:pt>
                <c:pt idx="82">
                  <c:v>0.69353226547600955</c:v>
                </c:pt>
                <c:pt idx="83">
                  <c:v>0.3739682816665692</c:v>
                </c:pt>
                <c:pt idx="84">
                  <c:v>0.69353226547600955</c:v>
                </c:pt>
                <c:pt idx="85">
                  <c:v>0.3739682816665692</c:v>
                </c:pt>
                <c:pt idx="86">
                  <c:v>0.69353226547600955</c:v>
                </c:pt>
                <c:pt idx="87">
                  <c:v>9.802576190473633E-2</c:v>
                </c:pt>
                <c:pt idx="88">
                  <c:v>0.24506440476184085</c:v>
                </c:pt>
                <c:pt idx="89">
                  <c:v>9.802576190473633E-2</c:v>
                </c:pt>
                <c:pt idx="90">
                  <c:v>0.24506440476184085</c:v>
                </c:pt>
                <c:pt idx="91">
                  <c:v>9.802576190473633E-2</c:v>
                </c:pt>
                <c:pt idx="92">
                  <c:v>0.24506440476184085</c:v>
                </c:pt>
                <c:pt idx="93">
                  <c:v>9.0489919714227277E-2</c:v>
                </c:pt>
                <c:pt idx="94">
                  <c:v>0.15189379380602439</c:v>
                </c:pt>
                <c:pt idx="95">
                  <c:v>0.19002883139987731</c:v>
                </c:pt>
                <c:pt idx="96">
                  <c:v>0.21588309417537083</c:v>
                </c:pt>
                <c:pt idx="97">
                  <c:v>0.1835652657060039</c:v>
                </c:pt>
                <c:pt idx="98">
                  <c:v>0.24626185293657571</c:v>
                </c:pt>
                <c:pt idx="99">
                  <c:v>0.14930836752847501</c:v>
                </c:pt>
                <c:pt idx="100">
                  <c:v>0.19972417994068736</c:v>
                </c:pt>
                <c:pt idx="101">
                  <c:v>0.21911487702230753</c:v>
                </c:pt>
                <c:pt idx="102">
                  <c:v>2.1976123359169486E-2</c:v>
                </c:pt>
                <c:pt idx="103">
                  <c:v>0.17516263030396853</c:v>
                </c:pt>
                <c:pt idx="104">
                  <c:v>0.15447922008357373</c:v>
                </c:pt>
                <c:pt idx="105">
                  <c:v>0.12862495730808021</c:v>
                </c:pt>
                <c:pt idx="106">
                  <c:v>6.9806509493832491E-2</c:v>
                </c:pt>
                <c:pt idx="107">
                  <c:v>3.1025115330592212E-2</c:v>
                </c:pt>
                <c:pt idx="108">
                  <c:v>5.4293951828536371E-2</c:v>
                </c:pt>
                <c:pt idx="109">
                  <c:v>2.5207906206106176E-2</c:v>
                </c:pt>
                <c:pt idx="110">
                  <c:v>2.0683410220394813E-2</c:v>
                </c:pt>
                <c:pt idx="111">
                  <c:v>3.6195967885690912E-2</c:v>
                </c:pt>
                <c:pt idx="112">
                  <c:v>5.3001238689761698E-2</c:v>
                </c:pt>
                <c:pt idx="113">
                  <c:v>0.15993346439587677</c:v>
                </c:pt>
                <c:pt idx="114">
                  <c:v>0.38650587229003552</c:v>
                </c:pt>
                <c:pt idx="115">
                  <c:v>0.17992514744536139</c:v>
                </c:pt>
                <c:pt idx="116">
                  <c:v>0.31986692879175355</c:v>
                </c:pt>
                <c:pt idx="117">
                  <c:v>-6.6638943498281995E-3</c:v>
                </c:pt>
                <c:pt idx="118">
                  <c:v>1.3327788699656399E-2</c:v>
                </c:pt>
                <c:pt idx="119">
                  <c:v>0.22657240789415875</c:v>
                </c:pt>
                <c:pt idx="120">
                  <c:v>3.3319471749140996E-2</c:v>
                </c:pt>
                <c:pt idx="121">
                  <c:v>6.6638943498281991E-2</c:v>
                </c:pt>
                <c:pt idx="122">
                  <c:v>0.27988356269278436</c:v>
                </c:pt>
                <c:pt idx="123">
                  <c:v>0.14660567569622041</c:v>
                </c:pt>
                <c:pt idx="124">
                  <c:v>1.3327788699656399E-2</c:v>
                </c:pt>
                <c:pt idx="125">
                  <c:v>2.1324461919450238E-2</c:v>
                </c:pt>
                <c:pt idx="126">
                  <c:v>3.7317808359037925E-2</c:v>
                </c:pt>
                <c:pt idx="127">
                  <c:v>6.8638111803230456E-2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C8-4142-8DC9-8EF388BE4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089736"/>
        <c:axId val="497087440"/>
      </c:scatterChart>
      <c:valAx>
        <c:axId val="497089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VRE Penetration 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087440"/>
        <c:crosses val="autoZero"/>
        <c:crossBetween val="midCat"/>
      </c:valAx>
      <c:valAx>
        <c:axId val="49708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Operating Reserve Costs as a % of LCOE of Solar</a:t>
                </a:r>
              </a:p>
            </c:rich>
          </c:tx>
          <c:layout>
            <c:manualLayout>
              <c:xMode val="edge"/>
              <c:yMode val="edge"/>
              <c:x val="2.5551684088269456E-2"/>
              <c:y val="0.150801939231280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089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Capacity Costs as a function of VRE Penetration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'Capacity Costs'!$B$3:$B$115</c:f>
              <c:numCache>
                <c:formatCode>General</c:formatCode>
                <c:ptCount val="113"/>
                <c:pt idx="0">
                  <c:v>0.2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0.02</c:v>
                </c:pt>
                <c:pt idx="11">
                  <c:v>0.04</c:v>
                </c:pt>
                <c:pt idx="12">
                  <c:v>0.06</c:v>
                </c:pt>
                <c:pt idx="13">
                  <c:v>0.08</c:v>
                </c:pt>
                <c:pt idx="14">
                  <c:v>0.1</c:v>
                </c:pt>
                <c:pt idx="15">
                  <c:v>0.12</c:v>
                </c:pt>
                <c:pt idx="16">
                  <c:v>0.14000000000000001</c:v>
                </c:pt>
                <c:pt idx="17">
                  <c:v>0.16</c:v>
                </c:pt>
                <c:pt idx="18">
                  <c:v>0.18</c:v>
                </c:pt>
                <c:pt idx="19">
                  <c:v>0.02</c:v>
                </c:pt>
                <c:pt idx="20">
                  <c:v>0.04</c:v>
                </c:pt>
                <c:pt idx="21">
                  <c:v>0.06</c:v>
                </c:pt>
                <c:pt idx="22">
                  <c:v>0.08</c:v>
                </c:pt>
                <c:pt idx="23">
                  <c:v>0.1</c:v>
                </c:pt>
                <c:pt idx="24">
                  <c:v>0.12</c:v>
                </c:pt>
                <c:pt idx="25">
                  <c:v>0.14000000000000001</c:v>
                </c:pt>
                <c:pt idx="26">
                  <c:v>0.16</c:v>
                </c:pt>
                <c:pt idx="27">
                  <c:v>0.18</c:v>
                </c:pt>
                <c:pt idx="28">
                  <c:v>0.02</c:v>
                </c:pt>
                <c:pt idx="29">
                  <c:v>0.04</c:v>
                </c:pt>
                <c:pt idx="30">
                  <c:v>0.06</c:v>
                </c:pt>
                <c:pt idx="31">
                  <c:v>0.08</c:v>
                </c:pt>
                <c:pt idx="32">
                  <c:v>0.1</c:v>
                </c:pt>
                <c:pt idx="33">
                  <c:v>0.12</c:v>
                </c:pt>
                <c:pt idx="34">
                  <c:v>0.14000000000000001</c:v>
                </c:pt>
                <c:pt idx="35">
                  <c:v>0.16</c:v>
                </c:pt>
                <c:pt idx="36">
                  <c:v>0.18</c:v>
                </c:pt>
                <c:pt idx="37">
                  <c:v>0.02</c:v>
                </c:pt>
                <c:pt idx="38">
                  <c:v>0.04</c:v>
                </c:pt>
                <c:pt idx="39">
                  <c:v>0.06</c:v>
                </c:pt>
                <c:pt idx="40">
                  <c:v>0.08</c:v>
                </c:pt>
                <c:pt idx="41">
                  <c:v>0.1</c:v>
                </c:pt>
                <c:pt idx="42">
                  <c:v>0.12</c:v>
                </c:pt>
                <c:pt idx="43">
                  <c:v>0.14000000000000001</c:v>
                </c:pt>
                <c:pt idx="44">
                  <c:v>0.16</c:v>
                </c:pt>
                <c:pt idx="45">
                  <c:v>0.18</c:v>
                </c:pt>
                <c:pt idx="46">
                  <c:v>0.02</c:v>
                </c:pt>
                <c:pt idx="47">
                  <c:v>0.04</c:v>
                </c:pt>
                <c:pt idx="48">
                  <c:v>0.06</c:v>
                </c:pt>
                <c:pt idx="49">
                  <c:v>0.08</c:v>
                </c:pt>
                <c:pt idx="50">
                  <c:v>0.1</c:v>
                </c:pt>
                <c:pt idx="51">
                  <c:v>0.12</c:v>
                </c:pt>
                <c:pt idx="52">
                  <c:v>0.14000000000000001</c:v>
                </c:pt>
                <c:pt idx="53">
                  <c:v>0.16</c:v>
                </c:pt>
                <c:pt idx="54">
                  <c:v>0.18</c:v>
                </c:pt>
                <c:pt idx="55">
                  <c:v>0.02</c:v>
                </c:pt>
                <c:pt idx="56">
                  <c:v>0.04</c:v>
                </c:pt>
                <c:pt idx="57">
                  <c:v>0.06</c:v>
                </c:pt>
                <c:pt idx="58">
                  <c:v>0.08</c:v>
                </c:pt>
                <c:pt idx="59">
                  <c:v>0.1</c:v>
                </c:pt>
                <c:pt idx="60">
                  <c:v>0.12</c:v>
                </c:pt>
                <c:pt idx="61">
                  <c:v>0.14000000000000001</c:v>
                </c:pt>
                <c:pt idx="62">
                  <c:v>0.16</c:v>
                </c:pt>
                <c:pt idx="63">
                  <c:v>0.18</c:v>
                </c:pt>
                <c:pt idx="64">
                  <c:v>0.02</c:v>
                </c:pt>
                <c:pt idx="65">
                  <c:v>0.04</c:v>
                </c:pt>
                <c:pt idx="66">
                  <c:v>0.06</c:v>
                </c:pt>
                <c:pt idx="67">
                  <c:v>0.08</c:v>
                </c:pt>
                <c:pt idx="68">
                  <c:v>0.1</c:v>
                </c:pt>
                <c:pt idx="69">
                  <c:v>0.12</c:v>
                </c:pt>
                <c:pt idx="70">
                  <c:v>0.14000000000000001</c:v>
                </c:pt>
                <c:pt idx="71">
                  <c:v>0.16</c:v>
                </c:pt>
                <c:pt idx="72">
                  <c:v>0.18</c:v>
                </c:pt>
                <c:pt idx="73">
                  <c:v>0.02</c:v>
                </c:pt>
                <c:pt idx="74">
                  <c:v>0.04</c:v>
                </c:pt>
                <c:pt idx="75">
                  <c:v>0.06</c:v>
                </c:pt>
                <c:pt idx="76">
                  <c:v>0.08</c:v>
                </c:pt>
                <c:pt idx="77">
                  <c:v>0.1</c:v>
                </c:pt>
                <c:pt idx="78">
                  <c:v>0.12</c:v>
                </c:pt>
                <c:pt idx="79">
                  <c:v>0.14000000000000001</c:v>
                </c:pt>
                <c:pt idx="80">
                  <c:v>0.16</c:v>
                </c:pt>
                <c:pt idx="81">
                  <c:v>0.18</c:v>
                </c:pt>
                <c:pt idx="82">
                  <c:v>0.02</c:v>
                </c:pt>
                <c:pt idx="83">
                  <c:v>0.04</c:v>
                </c:pt>
                <c:pt idx="84">
                  <c:v>0.06</c:v>
                </c:pt>
                <c:pt idx="85">
                  <c:v>0.08</c:v>
                </c:pt>
                <c:pt idx="86">
                  <c:v>0.1</c:v>
                </c:pt>
                <c:pt idx="87">
                  <c:v>0.12</c:v>
                </c:pt>
                <c:pt idx="88">
                  <c:v>0.14000000000000001</c:v>
                </c:pt>
                <c:pt idx="89">
                  <c:v>0.16</c:v>
                </c:pt>
                <c:pt idx="90">
                  <c:v>0.18</c:v>
                </c:pt>
                <c:pt idx="91">
                  <c:v>0.02</c:v>
                </c:pt>
                <c:pt idx="92">
                  <c:v>0.04</c:v>
                </c:pt>
                <c:pt idx="93">
                  <c:v>0.06</c:v>
                </c:pt>
                <c:pt idx="94">
                  <c:v>0.08</c:v>
                </c:pt>
                <c:pt idx="95">
                  <c:v>0.1</c:v>
                </c:pt>
                <c:pt idx="96">
                  <c:v>0.12</c:v>
                </c:pt>
                <c:pt idx="97">
                  <c:v>0.14000000000000001</c:v>
                </c:pt>
                <c:pt idx="98">
                  <c:v>0.16</c:v>
                </c:pt>
                <c:pt idx="99">
                  <c:v>0.18</c:v>
                </c:pt>
                <c:pt idx="100">
                  <c:v>0.02</c:v>
                </c:pt>
                <c:pt idx="101">
                  <c:v>0.04</c:v>
                </c:pt>
                <c:pt idx="102">
                  <c:v>0.06</c:v>
                </c:pt>
                <c:pt idx="103">
                  <c:v>0.08</c:v>
                </c:pt>
                <c:pt idx="104">
                  <c:v>0.1</c:v>
                </c:pt>
                <c:pt idx="105">
                  <c:v>0.12</c:v>
                </c:pt>
                <c:pt idx="106">
                  <c:v>0.14000000000000001</c:v>
                </c:pt>
                <c:pt idx="107">
                  <c:v>0.16</c:v>
                </c:pt>
                <c:pt idx="108">
                  <c:v>0.18</c:v>
                </c:pt>
                <c:pt idx="109">
                  <c:v>0.02</c:v>
                </c:pt>
                <c:pt idx="110">
                  <c:v>0.04</c:v>
                </c:pt>
                <c:pt idx="111">
                  <c:v>0.06</c:v>
                </c:pt>
                <c:pt idx="112">
                  <c:v>0.08</c:v>
                </c:pt>
              </c:numCache>
            </c:numRef>
          </c:xVal>
          <c:yVal>
            <c:numRef>
              <c:f>'Capacity Costs'!$E$3:$E$115</c:f>
              <c:numCache>
                <c:formatCode>General</c:formatCode>
                <c:ptCount val="113"/>
                <c:pt idx="0">
                  <c:v>1.3054016703078326</c:v>
                </c:pt>
                <c:pt idx="1">
                  <c:v>8.642918895320479</c:v>
                </c:pt>
                <c:pt idx="2">
                  <c:v>11.956037805193331</c:v>
                </c:pt>
                <c:pt idx="3">
                  <c:v>15.269156715066178</c:v>
                </c:pt>
                <c:pt idx="4">
                  <c:v>16.853691845874934</c:v>
                </c:pt>
                <c:pt idx="5">
                  <c:v>17.717983735406982</c:v>
                </c:pt>
                <c:pt idx="6">
                  <c:v>18.438226976683691</c:v>
                </c:pt>
                <c:pt idx="7">
                  <c:v>19.014421569705053</c:v>
                </c:pt>
                <c:pt idx="8">
                  <c:v>19.302518866215738</c:v>
                </c:pt>
                <c:pt idx="9">
                  <c:v>19.59061616272642</c:v>
                </c:pt>
                <c:pt idx="10">
                  <c:v>8.642918895320479</c:v>
                </c:pt>
                <c:pt idx="11">
                  <c:v>11.956037805193331</c:v>
                </c:pt>
                <c:pt idx="12">
                  <c:v>14.837010770300157</c:v>
                </c:pt>
                <c:pt idx="13">
                  <c:v>14.837010770300157</c:v>
                </c:pt>
                <c:pt idx="14">
                  <c:v>15.845351308087544</c:v>
                </c:pt>
                <c:pt idx="15">
                  <c:v>16.421545901108914</c:v>
                </c:pt>
                <c:pt idx="16">
                  <c:v>16.997740494130277</c:v>
                </c:pt>
                <c:pt idx="17">
                  <c:v>17.285837790640958</c:v>
                </c:pt>
                <c:pt idx="18">
                  <c:v>17.573935087151639</c:v>
                </c:pt>
                <c:pt idx="19">
                  <c:v>12.964378342980719</c:v>
                </c:pt>
                <c:pt idx="20">
                  <c:v>12.964378342980719</c:v>
                </c:pt>
                <c:pt idx="21">
                  <c:v>15.125108066810839</c:v>
                </c:pt>
                <c:pt idx="22">
                  <c:v>16.277497252853571</c:v>
                </c:pt>
                <c:pt idx="23">
                  <c:v>16.997740494130277</c:v>
                </c:pt>
                <c:pt idx="24">
                  <c:v>17.4298864388963</c:v>
                </c:pt>
                <c:pt idx="25">
                  <c:v>17.862032383662324</c:v>
                </c:pt>
                <c:pt idx="26">
                  <c:v>18.006081031917667</c:v>
                </c:pt>
                <c:pt idx="27">
                  <c:v>18.294178328428345</c:v>
                </c:pt>
                <c:pt idx="28">
                  <c:v>11.811989156937987</c:v>
                </c:pt>
                <c:pt idx="29">
                  <c:v>11.811989156937987</c:v>
                </c:pt>
                <c:pt idx="30">
                  <c:v>14.11676752902345</c:v>
                </c:pt>
                <c:pt idx="31">
                  <c:v>14.11676752902345</c:v>
                </c:pt>
                <c:pt idx="32">
                  <c:v>14.11676752902345</c:v>
                </c:pt>
                <c:pt idx="33">
                  <c:v>14.11676752902345</c:v>
                </c:pt>
                <c:pt idx="34">
                  <c:v>14.692962122044813</c:v>
                </c:pt>
                <c:pt idx="35">
                  <c:v>15.269156715066178</c:v>
                </c:pt>
                <c:pt idx="36">
                  <c:v>15.557254011576864</c:v>
                </c:pt>
                <c:pt idx="37">
                  <c:v>15.269156715066178</c:v>
                </c:pt>
                <c:pt idx="38">
                  <c:v>15.269156715066178</c:v>
                </c:pt>
                <c:pt idx="39">
                  <c:v>15.269156715066178</c:v>
                </c:pt>
                <c:pt idx="40">
                  <c:v>16.565594549364249</c:v>
                </c:pt>
                <c:pt idx="41">
                  <c:v>17.4298864388963</c:v>
                </c:pt>
                <c:pt idx="42">
                  <c:v>17.862032383662324</c:v>
                </c:pt>
                <c:pt idx="43">
                  <c:v>18.294178328428345</c:v>
                </c:pt>
                <c:pt idx="44">
                  <c:v>18.58227562493903</c:v>
                </c:pt>
                <c:pt idx="45">
                  <c:v>18.870372921449711</c:v>
                </c:pt>
                <c:pt idx="46">
                  <c:v>14.11676752902345</c:v>
                </c:pt>
                <c:pt idx="47">
                  <c:v>14.11676752902345</c:v>
                </c:pt>
                <c:pt idx="48">
                  <c:v>14.11676752902345</c:v>
                </c:pt>
                <c:pt idx="49">
                  <c:v>15.557254011576864</c:v>
                </c:pt>
                <c:pt idx="50">
                  <c:v>15.557254011576864</c:v>
                </c:pt>
                <c:pt idx="51">
                  <c:v>15.557254011576864</c:v>
                </c:pt>
                <c:pt idx="52">
                  <c:v>15.557254011576864</c:v>
                </c:pt>
                <c:pt idx="53">
                  <c:v>15.557254011576864</c:v>
                </c:pt>
                <c:pt idx="54">
                  <c:v>15.989399956342886</c:v>
                </c:pt>
                <c:pt idx="55">
                  <c:v>20.743005348769149</c:v>
                </c:pt>
                <c:pt idx="56">
                  <c:v>20.743005348769149</c:v>
                </c:pt>
                <c:pt idx="57">
                  <c:v>20.743005348769149</c:v>
                </c:pt>
                <c:pt idx="58">
                  <c:v>20.743005348769149</c:v>
                </c:pt>
                <c:pt idx="59">
                  <c:v>20.743005348769149</c:v>
                </c:pt>
                <c:pt idx="60">
                  <c:v>20.743005348769149</c:v>
                </c:pt>
                <c:pt idx="61">
                  <c:v>20.743005348769149</c:v>
                </c:pt>
                <c:pt idx="62">
                  <c:v>20.743005348769149</c:v>
                </c:pt>
                <c:pt idx="63">
                  <c:v>20.743005348769149</c:v>
                </c:pt>
                <c:pt idx="64">
                  <c:v>12.676281046470036</c:v>
                </c:pt>
                <c:pt idx="65">
                  <c:v>12.676281046470036</c:v>
                </c:pt>
                <c:pt idx="66">
                  <c:v>12.676281046470036</c:v>
                </c:pt>
                <c:pt idx="67">
                  <c:v>12.676281046470036</c:v>
                </c:pt>
                <c:pt idx="68">
                  <c:v>13.396524287746743</c:v>
                </c:pt>
                <c:pt idx="69">
                  <c:v>13.396524287746743</c:v>
                </c:pt>
                <c:pt idx="70">
                  <c:v>13.396524287746743</c:v>
                </c:pt>
                <c:pt idx="71">
                  <c:v>13.972718880768108</c:v>
                </c:pt>
                <c:pt idx="72">
                  <c:v>14.404864825534132</c:v>
                </c:pt>
                <c:pt idx="73">
                  <c:v>18.006081031917667</c:v>
                </c:pt>
                <c:pt idx="74">
                  <c:v>18.006081031917667</c:v>
                </c:pt>
                <c:pt idx="75">
                  <c:v>18.006081031917667</c:v>
                </c:pt>
                <c:pt idx="76">
                  <c:v>18.006081031917667</c:v>
                </c:pt>
                <c:pt idx="77">
                  <c:v>18.006081031917667</c:v>
                </c:pt>
                <c:pt idx="78">
                  <c:v>18.438226976683691</c:v>
                </c:pt>
                <c:pt idx="79">
                  <c:v>18.58227562493903</c:v>
                </c:pt>
                <c:pt idx="80">
                  <c:v>18.726324273194372</c:v>
                </c:pt>
                <c:pt idx="81">
                  <c:v>18.726324273194372</c:v>
                </c:pt>
                <c:pt idx="82">
                  <c:v>9.5072107848525267</c:v>
                </c:pt>
                <c:pt idx="83">
                  <c:v>9.5072107848525267</c:v>
                </c:pt>
                <c:pt idx="84">
                  <c:v>9.5072107848525267</c:v>
                </c:pt>
                <c:pt idx="85">
                  <c:v>11.667940508682646</c:v>
                </c:pt>
                <c:pt idx="86">
                  <c:v>11.667940508682646</c:v>
                </c:pt>
                <c:pt idx="87">
                  <c:v>11.667940508682646</c:v>
                </c:pt>
                <c:pt idx="88">
                  <c:v>11.667940508682646</c:v>
                </c:pt>
                <c:pt idx="89">
                  <c:v>11.667940508682646</c:v>
                </c:pt>
                <c:pt idx="90">
                  <c:v>11.667940508682646</c:v>
                </c:pt>
                <c:pt idx="91">
                  <c:v>16.997740494130277</c:v>
                </c:pt>
                <c:pt idx="92">
                  <c:v>16.997740494130277</c:v>
                </c:pt>
                <c:pt idx="93">
                  <c:v>17.717983735406982</c:v>
                </c:pt>
                <c:pt idx="94">
                  <c:v>17.862032383662324</c:v>
                </c:pt>
                <c:pt idx="95">
                  <c:v>18.150129680173002</c:v>
                </c:pt>
                <c:pt idx="96">
                  <c:v>18.294178328428345</c:v>
                </c:pt>
                <c:pt idx="97">
                  <c:v>18.438226976683691</c:v>
                </c:pt>
                <c:pt idx="98">
                  <c:v>18.438226976683691</c:v>
                </c:pt>
                <c:pt idx="99">
                  <c:v>18.438226976683691</c:v>
                </c:pt>
                <c:pt idx="100">
                  <c:v>13.252475639491399</c:v>
                </c:pt>
                <c:pt idx="101">
                  <c:v>14.260816177278791</c:v>
                </c:pt>
                <c:pt idx="102">
                  <c:v>14.260816177278791</c:v>
                </c:pt>
                <c:pt idx="103">
                  <c:v>14.260816177278791</c:v>
                </c:pt>
                <c:pt idx="104">
                  <c:v>14.260816177278791</c:v>
                </c:pt>
                <c:pt idx="105">
                  <c:v>14.260816177278791</c:v>
                </c:pt>
                <c:pt idx="106">
                  <c:v>14.260816177278791</c:v>
                </c:pt>
                <c:pt idx="107">
                  <c:v>14.260816177278791</c:v>
                </c:pt>
                <c:pt idx="108">
                  <c:v>14.548913473789472</c:v>
                </c:pt>
                <c:pt idx="109">
                  <c:v>20.887053997024491</c:v>
                </c:pt>
                <c:pt idx="110">
                  <c:v>20.887053997024491</c:v>
                </c:pt>
                <c:pt idx="111">
                  <c:v>20.887053997024491</c:v>
                </c:pt>
                <c:pt idx="112">
                  <c:v>20.887053997024491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59-4792-A19E-4AC3BBD82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915448"/>
        <c:axId val="549913808"/>
      </c:scatterChart>
      <c:valAx>
        <c:axId val="549915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VRE Penetration Level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913808"/>
        <c:crosses val="autoZero"/>
        <c:crossBetween val="midCat"/>
      </c:valAx>
      <c:valAx>
        <c:axId val="549913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Capacity Costs (2023 USD / 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99154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Aggregate Costs as a function of VRE penetration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5153157020607648E-2"/>
          <c:y val="8.001295513473887E-2"/>
          <c:w val="0.88850196919756819"/>
          <c:h val="0.79027011010040427"/>
        </c:manualLayout>
      </c:layout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'Agg Costs'!$D$3:$D$115</c:f>
              <c:numCache>
                <c:formatCode>General</c:formatCode>
                <c:ptCount val="113"/>
                <c:pt idx="0">
                  <c:v>0.36399999999999999</c:v>
                </c:pt>
                <c:pt idx="1">
                  <c:v>0.36299999999999999</c:v>
                </c:pt>
                <c:pt idx="2">
                  <c:v>0.36099999999999999</c:v>
                </c:pt>
                <c:pt idx="3">
                  <c:v>0.47</c:v>
                </c:pt>
                <c:pt idx="4">
                  <c:v>0.48</c:v>
                </c:pt>
                <c:pt idx="5">
                  <c:v>0.51200000000000001</c:v>
                </c:pt>
                <c:pt idx="6">
                  <c:v>0.51800000000000002</c:v>
                </c:pt>
                <c:pt idx="7">
                  <c:v>0.51300000000000001</c:v>
                </c:pt>
                <c:pt idx="8">
                  <c:v>0.51900000000000002</c:v>
                </c:pt>
                <c:pt idx="9">
                  <c:v>0.26600000000000001</c:v>
                </c:pt>
                <c:pt idx="10">
                  <c:v>0.37</c:v>
                </c:pt>
                <c:pt idx="11">
                  <c:v>0.504</c:v>
                </c:pt>
                <c:pt idx="12">
                  <c:v>0.26600000000000001</c:v>
                </c:pt>
                <c:pt idx="13">
                  <c:v>0.37</c:v>
                </c:pt>
                <c:pt idx="14">
                  <c:v>0.47</c:v>
                </c:pt>
                <c:pt idx="15">
                  <c:v>0.26500000000000001</c:v>
                </c:pt>
                <c:pt idx="16">
                  <c:v>0.27900000000000003</c:v>
                </c:pt>
                <c:pt idx="17">
                  <c:v>0.35499999999999998</c:v>
                </c:pt>
                <c:pt idx="18">
                  <c:v>0.37</c:v>
                </c:pt>
                <c:pt idx="19">
                  <c:v>0.41499999999999998</c:v>
                </c:pt>
                <c:pt idx="20">
                  <c:v>0.46</c:v>
                </c:pt>
                <c:pt idx="21">
                  <c:v>0.46</c:v>
                </c:pt>
                <c:pt idx="22">
                  <c:v>0.53800000000000003</c:v>
                </c:pt>
                <c:pt idx="23">
                  <c:v>0.53800000000000003</c:v>
                </c:pt>
                <c:pt idx="24">
                  <c:v>0.56000000000000005</c:v>
                </c:pt>
                <c:pt idx="25">
                  <c:v>0.60199999999999998</c:v>
                </c:pt>
                <c:pt idx="26">
                  <c:v>0.60199999999999998</c:v>
                </c:pt>
                <c:pt idx="27">
                  <c:v>0.45200000000000001</c:v>
                </c:pt>
                <c:pt idx="28">
                  <c:v>0.45300000000000001</c:v>
                </c:pt>
                <c:pt idx="29">
                  <c:v>0.52800000000000002</c:v>
                </c:pt>
                <c:pt idx="30">
                  <c:v>0.53</c:v>
                </c:pt>
                <c:pt idx="31">
                  <c:v>0.58899999999999997</c:v>
                </c:pt>
                <c:pt idx="32">
                  <c:v>0.58899999999999997</c:v>
                </c:pt>
                <c:pt idx="33">
                  <c:v>0.36199999999999999</c:v>
                </c:pt>
                <c:pt idx="34">
                  <c:v>0.36399999999999999</c:v>
                </c:pt>
                <c:pt idx="35">
                  <c:v>0.36399999999999999</c:v>
                </c:pt>
                <c:pt idx="36">
                  <c:v>0.47099999999999997</c:v>
                </c:pt>
                <c:pt idx="37">
                  <c:v>0.48</c:v>
                </c:pt>
                <c:pt idx="38">
                  <c:v>0.51300000000000001</c:v>
                </c:pt>
                <c:pt idx="39">
                  <c:v>0.51800000000000002</c:v>
                </c:pt>
                <c:pt idx="40">
                  <c:v>0.51400000000000001</c:v>
                </c:pt>
                <c:pt idx="41">
                  <c:v>0.51900000000000002</c:v>
                </c:pt>
                <c:pt idx="42">
                  <c:v>0.26600000000000001</c:v>
                </c:pt>
                <c:pt idx="43">
                  <c:v>0.37</c:v>
                </c:pt>
                <c:pt idx="44">
                  <c:v>0.50600000000000001</c:v>
                </c:pt>
                <c:pt idx="45">
                  <c:v>0.26600000000000001</c:v>
                </c:pt>
                <c:pt idx="46">
                  <c:v>0.37</c:v>
                </c:pt>
                <c:pt idx="47">
                  <c:v>0.47</c:v>
                </c:pt>
                <c:pt idx="48">
                  <c:v>0.26600000000000001</c:v>
                </c:pt>
                <c:pt idx="49">
                  <c:v>0.27900000000000003</c:v>
                </c:pt>
                <c:pt idx="50">
                  <c:v>0.35599999999999998</c:v>
                </c:pt>
                <c:pt idx="51">
                  <c:v>0.37</c:v>
                </c:pt>
                <c:pt idx="52">
                  <c:v>0.41499999999999998</c:v>
                </c:pt>
                <c:pt idx="53">
                  <c:v>0.46</c:v>
                </c:pt>
                <c:pt idx="54">
                  <c:v>0.46</c:v>
                </c:pt>
                <c:pt idx="55">
                  <c:v>0.53800000000000003</c:v>
                </c:pt>
                <c:pt idx="56">
                  <c:v>0.53800000000000003</c:v>
                </c:pt>
                <c:pt idx="57">
                  <c:v>0.56000000000000005</c:v>
                </c:pt>
                <c:pt idx="58">
                  <c:v>0.60199999999999998</c:v>
                </c:pt>
                <c:pt idx="59">
                  <c:v>0.60199999999999998</c:v>
                </c:pt>
                <c:pt idx="60">
                  <c:v>0.45200000000000001</c:v>
                </c:pt>
                <c:pt idx="61">
                  <c:v>0.45300000000000001</c:v>
                </c:pt>
                <c:pt idx="62">
                  <c:v>0.52700000000000002</c:v>
                </c:pt>
                <c:pt idx="63">
                  <c:v>0.53</c:v>
                </c:pt>
                <c:pt idx="64">
                  <c:v>0.58899999999999997</c:v>
                </c:pt>
                <c:pt idx="65">
                  <c:v>0.58899999999999997</c:v>
                </c:pt>
                <c:pt idx="66">
                  <c:v>0.36099999999999999</c:v>
                </c:pt>
                <c:pt idx="67">
                  <c:v>0.36299999999999999</c:v>
                </c:pt>
                <c:pt idx="68">
                  <c:v>0.36399999999999999</c:v>
                </c:pt>
                <c:pt idx="69">
                  <c:v>0.47099999999999997</c:v>
                </c:pt>
                <c:pt idx="70">
                  <c:v>0.51900000000000002</c:v>
                </c:pt>
                <c:pt idx="71">
                  <c:v>0.51800000000000002</c:v>
                </c:pt>
                <c:pt idx="72">
                  <c:v>0.51300000000000001</c:v>
                </c:pt>
                <c:pt idx="73">
                  <c:v>0.51400000000000001</c:v>
                </c:pt>
                <c:pt idx="74">
                  <c:v>0.26600000000000001</c:v>
                </c:pt>
                <c:pt idx="75">
                  <c:v>0.37</c:v>
                </c:pt>
                <c:pt idx="76">
                  <c:v>0.505</c:v>
                </c:pt>
                <c:pt idx="77">
                  <c:v>0.26500000000000001</c:v>
                </c:pt>
                <c:pt idx="78">
                  <c:v>0.37</c:v>
                </c:pt>
                <c:pt idx="79">
                  <c:v>0.47</c:v>
                </c:pt>
                <c:pt idx="80">
                  <c:v>0.26500000000000001</c:v>
                </c:pt>
                <c:pt idx="81">
                  <c:v>0.27800000000000002</c:v>
                </c:pt>
                <c:pt idx="82">
                  <c:v>0.35499999999999998</c:v>
                </c:pt>
                <c:pt idx="83">
                  <c:v>0.37</c:v>
                </c:pt>
                <c:pt idx="84">
                  <c:v>0.41499999999999998</c:v>
                </c:pt>
                <c:pt idx="85">
                  <c:v>0.46</c:v>
                </c:pt>
                <c:pt idx="86">
                  <c:v>0.46</c:v>
                </c:pt>
                <c:pt idx="87">
                  <c:v>0.53900000000000003</c:v>
                </c:pt>
                <c:pt idx="88">
                  <c:v>0.53900000000000003</c:v>
                </c:pt>
                <c:pt idx="89">
                  <c:v>0.56100000000000005</c:v>
                </c:pt>
                <c:pt idx="90">
                  <c:v>0.60199999999999998</c:v>
                </c:pt>
                <c:pt idx="91">
                  <c:v>0.60199999999999998</c:v>
                </c:pt>
                <c:pt idx="92">
                  <c:v>0.45200000000000001</c:v>
                </c:pt>
                <c:pt idx="93">
                  <c:v>0.45400000000000001</c:v>
                </c:pt>
                <c:pt idx="94">
                  <c:v>0.52800000000000002</c:v>
                </c:pt>
                <c:pt idx="95">
                  <c:v>0.53</c:v>
                </c:pt>
                <c:pt idx="96">
                  <c:v>0.58899999999999997</c:v>
                </c:pt>
                <c:pt idx="97">
                  <c:v>0.59</c:v>
                </c:pt>
                <c:pt idx="98">
                  <c:v>0.18899999999999997</c:v>
                </c:pt>
                <c:pt idx="99">
                  <c:v>0.18899999999999997</c:v>
                </c:pt>
                <c:pt idx="100">
                  <c:v>0.189</c:v>
                </c:pt>
                <c:pt idx="101">
                  <c:v>0.375</c:v>
                </c:pt>
                <c:pt idx="102">
                  <c:v>0.375</c:v>
                </c:pt>
                <c:pt idx="103">
                  <c:v>0.36299999999999999</c:v>
                </c:pt>
                <c:pt idx="104">
                  <c:v>0.55899999999999994</c:v>
                </c:pt>
                <c:pt idx="105">
                  <c:v>0.55299999999999994</c:v>
                </c:pt>
                <c:pt idx="106">
                  <c:v>0.53299999999999992</c:v>
                </c:pt>
                <c:pt idx="107">
                  <c:v>0.72699999999999998</c:v>
                </c:pt>
                <c:pt idx="108">
                  <c:v>0.71900000000000008</c:v>
                </c:pt>
                <c:pt idx="109">
                  <c:v>0.66799999999999993</c:v>
                </c:pt>
                <c:pt idx="110">
                  <c:v>0.83099999999999996</c:v>
                </c:pt>
                <c:pt idx="111">
                  <c:v>0.82900000000000007</c:v>
                </c:pt>
                <c:pt idx="112">
                  <c:v>0.76200000000000001</c:v>
                </c:pt>
              </c:numCache>
            </c:numRef>
          </c:xVal>
          <c:yVal>
            <c:numRef>
              <c:f>'Agg Costs'!$K$3:$K$115</c:f>
              <c:numCache>
                <c:formatCode>General</c:formatCode>
                <c:ptCount val="113"/>
                <c:pt idx="0">
                  <c:v>12.638441563921678</c:v>
                </c:pt>
                <c:pt idx="1">
                  <c:v>26.856688323333561</c:v>
                </c:pt>
                <c:pt idx="2">
                  <c:v>45.419399370343527</c:v>
                </c:pt>
                <c:pt idx="3">
                  <c:v>72.868514641985911</c:v>
                </c:pt>
                <c:pt idx="4">
                  <c:v>69.906379900441763</c:v>
                </c:pt>
                <c:pt idx="5">
                  <c:v>27.449115271642391</c:v>
                </c:pt>
                <c:pt idx="6">
                  <c:v>25.276883127843355</c:v>
                </c:pt>
                <c:pt idx="7">
                  <c:v>14.020771109975609</c:v>
                </c:pt>
                <c:pt idx="8">
                  <c:v>16.193003253774648</c:v>
                </c:pt>
                <c:pt idx="9">
                  <c:v>20.932418840245276</c:v>
                </c:pt>
                <c:pt idx="10">
                  <c:v>62.797256520735836</c:v>
                </c:pt>
                <c:pt idx="11">
                  <c:v>95.578214327157667</c:v>
                </c:pt>
                <c:pt idx="12">
                  <c:v>20.142516242500172</c:v>
                </c:pt>
                <c:pt idx="13">
                  <c:v>21.722321437990384</c:v>
                </c:pt>
                <c:pt idx="14">
                  <c:v>22.117272736862933</c:v>
                </c:pt>
                <c:pt idx="15">
                  <c:v>13.033392862794228</c:v>
                </c:pt>
                <c:pt idx="16">
                  <c:v>14.613198058284439</c:v>
                </c:pt>
                <c:pt idx="17">
                  <c:v>15.205625006593266</c:v>
                </c:pt>
                <c:pt idx="18">
                  <c:v>15.008149357156991</c:v>
                </c:pt>
                <c:pt idx="19">
                  <c:v>12.835917213357954</c:v>
                </c:pt>
                <c:pt idx="20">
                  <c:v>15.205625006593266</c:v>
                </c:pt>
                <c:pt idx="21">
                  <c:v>16.193003253774648</c:v>
                </c:pt>
                <c:pt idx="22">
                  <c:v>21.919797087426659</c:v>
                </c:pt>
                <c:pt idx="23">
                  <c:v>22.512224035735485</c:v>
                </c:pt>
                <c:pt idx="24">
                  <c:v>36.730470795147376</c:v>
                </c:pt>
                <c:pt idx="25">
                  <c:v>34.755714300784611</c:v>
                </c:pt>
                <c:pt idx="26">
                  <c:v>44.826972422034693</c:v>
                </c:pt>
                <c:pt idx="27">
                  <c:v>10.861160718995192</c:v>
                </c:pt>
                <c:pt idx="28">
                  <c:v>11.058636368431467</c:v>
                </c:pt>
                <c:pt idx="29">
                  <c:v>13.230868512230506</c:v>
                </c:pt>
                <c:pt idx="30">
                  <c:v>13.230868512230506</c:v>
                </c:pt>
                <c:pt idx="31">
                  <c:v>15.403100656029542</c:v>
                </c:pt>
                <c:pt idx="32">
                  <c:v>14.613198058284439</c:v>
                </c:pt>
                <c:pt idx="33">
                  <c:v>45.419399370343527</c:v>
                </c:pt>
                <c:pt idx="34">
                  <c:v>26.65921267389729</c:v>
                </c:pt>
                <c:pt idx="35">
                  <c:v>12.4409659144854</c:v>
                </c:pt>
                <c:pt idx="36">
                  <c:v>72.67103899254964</c:v>
                </c:pt>
                <c:pt idx="37">
                  <c:v>69.906379900441763</c:v>
                </c:pt>
                <c:pt idx="38">
                  <c:v>27.251639622206117</c:v>
                </c:pt>
                <c:pt idx="39">
                  <c:v>25.079407478407077</c:v>
                </c:pt>
                <c:pt idx="40">
                  <c:v>13.625819811103058</c:v>
                </c:pt>
                <c:pt idx="41">
                  <c:v>15.995527604338371</c:v>
                </c:pt>
                <c:pt idx="42">
                  <c:v>21.524845788554103</c:v>
                </c:pt>
                <c:pt idx="43">
                  <c:v>45.024448071470971</c:v>
                </c:pt>
                <c:pt idx="44">
                  <c:v>79.385211073383033</c:v>
                </c:pt>
                <c:pt idx="45">
                  <c:v>20.33999189193645</c:v>
                </c:pt>
                <c:pt idx="46">
                  <c:v>23.499602282916868</c:v>
                </c:pt>
                <c:pt idx="47">
                  <c:v>20.142516242500172</c:v>
                </c:pt>
                <c:pt idx="48">
                  <c:v>12.835917213357954</c:v>
                </c:pt>
                <c:pt idx="49">
                  <c:v>14.218246759411887</c:v>
                </c:pt>
                <c:pt idx="50">
                  <c:v>9.4788311729412573</c:v>
                </c:pt>
                <c:pt idx="51">
                  <c:v>14.810673707720715</c:v>
                </c:pt>
                <c:pt idx="52">
                  <c:v>12.4409659144854</c:v>
                </c:pt>
                <c:pt idx="53">
                  <c:v>14.218246759411887</c:v>
                </c:pt>
                <c:pt idx="54">
                  <c:v>14.810673707720715</c:v>
                </c:pt>
                <c:pt idx="55">
                  <c:v>14.415722408848163</c:v>
                </c:pt>
                <c:pt idx="56">
                  <c:v>16.785430202083475</c:v>
                </c:pt>
                <c:pt idx="57">
                  <c:v>31.991055208676741</c:v>
                </c:pt>
                <c:pt idx="58">
                  <c:v>25.276883127843355</c:v>
                </c:pt>
                <c:pt idx="59">
                  <c:v>27.844066570514943</c:v>
                </c:pt>
                <c:pt idx="60">
                  <c:v>14.218246759411887</c:v>
                </c:pt>
                <c:pt idx="61">
                  <c:v>14.810673707720715</c:v>
                </c:pt>
                <c:pt idx="62">
                  <c:v>2.9621347415441428</c:v>
                </c:pt>
                <c:pt idx="63">
                  <c:v>13.033392862794228</c:v>
                </c:pt>
                <c:pt idx="64">
                  <c:v>15.798051954902094</c:v>
                </c:pt>
                <c:pt idx="65">
                  <c:v>16.785430202083475</c:v>
                </c:pt>
                <c:pt idx="66">
                  <c:v>45.221923720907249</c:v>
                </c:pt>
                <c:pt idx="67">
                  <c:v>23.697077932353142</c:v>
                </c:pt>
                <c:pt idx="68">
                  <c:v>20.537467541372727</c:v>
                </c:pt>
                <c:pt idx="69">
                  <c:v>70.498806848750604</c:v>
                </c:pt>
                <c:pt idx="70">
                  <c:v>49.763863657941599</c:v>
                </c:pt>
                <c:pt idx="71">
                  <c:v>48.184058462451382</c:v>
                </c:pt>
                <c:pt idx="72">
                  <c:v>24.092029231225691</c:v>
                </c:pt>
                <c:pt idx="73">
                  <c:v>21.919797087426659</c:v>
                </c:pt>
                <c:pt idx="74">
                  <c:v>20.537467541372727</c:v>
                </c:pt>
                <c:pt idx="75">
                  <c:v>57.070462687083811</c:v>
                </c:pt>
                <c:pt idx="76">
                  <c:v>85.901907504780141</c:v>
                </c:pt>
                <c:pt idx="77">
                  <c:v>19.155137995318789</c:v>
                </c:pt>
                <c:pt idx="78">
                  <c:v>22.117272736862933</c:v>
                </c:pt>
                <c:pt idx="79">
                  <c:v>34.360763001912055</c:v>
                </c:pt>
                <c:pt idx="80">
                  <c:v>13.823295460539336</c:v>
                </c:pt>
                <c:pt idx="81">
                  <c:v>24.289504880661976</c:v>
                </c:pt>
                <c:pt idx="82">
                  <c:v>25.079407478407077</c:v>
                </c:pt>
                <c:pt idx="83">
                  <c:v>15.995527604338371</c:v>
                </c:pt>
                <c:pt idx="84">
                  <c:v>26.264261375024738</c:v>
                </c:pt>
                <c:pt idx="85">
                  <c:v>26.856688323333561</c:v>
                </c:pt>
                <c:pt idx="86">
                  <c:v>28.436493518823774</c:v>
                </c:pt>
                <c:pt idx="87">
                  <c:v>28.831444817696326</c:v>
                </c:pt>
                <c:pt idx="88">
                  <c:v>33.768336053603228</c:v>
                </c:pt>
                <c:pt idx="89">
                  <c:v>44.432021123162144</c:v>
                </c:pt>
                <c:pt idx="90">
                  <c:v>57.267938336520096</c:v>
                </c:pt>
                <c:pt idx="91">
                  <c:v>53.910852296103407</c:v>
                </c:pt>
                <c:pt idx="92">
                  <c:v>15.995527604338371</c:v>
                </c:pt>
                <c:pt idx="93">
                  <c:v>23.302126633480597</c:v>
                </c:pt>
                <c:pt idx="94">
                  <c:v>11.453587667304019</c:v>
                </c:pt>
                <c:pt idx="95">
                  <c:v>20.537467541372727</c:v>
                </c:pt>
                <c:pt idx="96">
                  <c:v>19.747564943627616</c:v>
                </c:pt>
                <c:pt idx="97">
                  <c:v>28.831444817696326</c:v>
                </c:pt>
                <c:pt idx="98">
                  <c:v>17.059641236154235</c:v>
                </c:pt>
                <c:pt idx="99">
                  <c:v>19.113116570135762</c:v>
                </c:pt>
                <c:pt idx="100">
                  <c:v>24.957623289929341</c:v>
                </c:pt>
                <c:pt idx="101">
                  <c:v>21.16659190411729</c:v>
                </c:pt>
                <c:pt idx="102">
                  <c:v>23.062107597023314</c:v>
                </c:pt>
                <c:pt idx="103">
                  <c:v>33.329484266930962</c:v>
                </c:pt>
                <c:pt idx="104">
                  <c:v>25.115582931004845</c:v>
                </c:pt>
                <c:pt idx="105">
                  <c:v>27.64293718821288</c:v>
                </c:pt>
                <c:pt idx="106">
                  <c:v>41.543385602857072</c:v>
                </c:pt>
                <c:pt idx="107">
                  <c:v>29.538452881118904</c:v>
                </c:pt>
                <c:pt idx="108">
                  <c:v>32.855605343704454</c:v>
                </c:pt>
                <c:pt idx="109">
                  <c:v>51.178923708462705</c:v>
                </c:pt>
                <c:pt idx="110">
                  <c:v>38.384192781347025</c:v>
                </c:pt>
                <c:pt idx="111">
                  <c:v>42.33318380823458</c:v>
                </c:pt>
                <c:pt idx="112">
                  <c:v>62.709977506974361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DB-4266-8D6C-8B3CB22B0A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077928"/>
        <c:axId val="497078912"/>
      </c:scatterChart>
      <c:valAx>
        <c:axId val="497077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VRE Penetration Level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078912"/>
        <c:crosses val="autoZero"/>
        <c:crossBetween val="midCat"/>
      </c:valAx>
      <c:valAx>
        <c:axId val="49707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Aggregate Costs (2023 USD / 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077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Profile Costs as a function of VRE Penetration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'Profile Costs'!$D$3:$D$90</c:f>
              <c:numCache>
                <c:formatCode>General</c:formatCode>
                <c:ptCount val="88"/>
                <c:pt idx="0">
                  <c:v>0.02</c:v>
                </c:pt>
                <c:pt idx="1">
                  <c:v>0.03</c:v>
                </c:pt>
                <c:pt idx="2">
                  <c:v>3.5000000000000003E-2</c:v>
                </c:pt>
                <c:pt idx="3">
                  <c:v>4.7E-2</c:v>
                </c:pt>
                <c:pt idx="4">
                  <c:v>4.9000000000000002E-2</c:v>
                </c:pt>
                <c:pt idx="5">
                  <c:v>5.5E-2</c:v>
                </c:pt>
                <c:pt idx="6">
                  <c:v>7.0999999999999994E-2</c:v>
                </c:pt>
                <c:pt idx="7">
                  <c:v>7.2999999999999995E-2</c:v>
                </c:pt>
                <c:pt idx="8">
                  <c:v>8.7999999999999995E-2</c:v>
                </c:pt>
                <c:pt idx="9">
                  <c:v>0.08</c:v>
                </c:pt>
                <c:pt idx="10">
                  <c:v>4.0000000000000001E-3</c:v>
                </c:pt>
                <c:pt idx="11">
                  <c:v>5.0000000000000001E-3</c:v>
                </c:pt>
                <c:pt idx="12">
                  <c:v>7.0000000000000001E-3</c:v>
                </c:pt>
                <c:pt idx="13">
                  <c:v>1.0999999999999999E-2</c:v>
                </c:pt>
                <c:pt idx="14">
                  <c:v>2.1000000000000001E-2</c:v>
                </c:pt>
                <c:pt idx="15">
                  <c:v>3.3000000000000002E-2</c:v>
                </c:pt>
                <c:pt idx="16">
                  <c:v>4.4999999999999998E-2</c:v>
                </c:pt>
                <c:pt idx="17">
                  <c:v>0.1</c:v>
                </c:pt>
                <c:pt idx="18">
                  <c:v>0.2</c:v>
                </c:pt>
                <c:pt idx="19">
                  <c:v>0.3</c:v>
                </c:pt>
                <c:pt idx="20">
                  <c:v>0.1</c:v>
                </c:pt>
                <c:pt idx="21">
                  <c:v>0.2</c:v>
                </c:pt>
                <c:pt idx="22">
                  <c:v>0.3</c:v>
                </c:pt>
                <c:pt idx="23">
                  <c:v>0.05</c:v>
                </c:pt>
                <c:pt idx="24">
                  <c:v>0.1</c:v>
                </c:pt>
                <c:pt idx="25">
                  <c:v>0.15</c:v>
                </c:pt>
                <c:pt idx="26">
                  <c:v>0.2</c:v>
                </c:pt>
                <c:pt idx="27">
                  <c:v>0.25</c:v>
                </c:pt>
                <c:pt idx="28">
                  <c:v>0.3</c:v>
                </c:pt>
                <c:pt idx="29">
                  <c:v>0.35</c:v>
                </c:pt>
                <c:pt idx="30">
                  <c:v>0.4</c:v>
                </c:pt>
                <c:pt idx="31">
                  <c:v>0.05</c:v>
                </c:pt>
                <c:pt idx="32">
                  <c:v>0.1</c:v>
                </c:pt>
                <c:pt idx="33">
                  <c:v>0.15</c:v>
                </c:pt>
                <c:pt idx="34">
                  <c:v>0.2</c:v>
                </c:pt>
                <c:pt idx="35">
                  <c:v>0.25</c:v>
                </c:pt>
                <c:pt idx="36">
                  <c:v>1E-3</c:v>
                </c:pt>
                <c:pt idx="37">
                  <c:v>2E-3</c:v>
                </c:pt>
                <c:pt idx="38">
                  <c:v>2E-3</c:v>
                </c:pt>
                <c:pt idx="39">
                  <c:v>8.0000000000000002E-3</c:v>
                </c:pt>
                <c:pt idx="40">
                  <c:v>8.0000000000000002E-3</c:v>
                </c:pt>
                <c:pt idx="41">
                  <c:v>8.9999999999999993E-3</c:v>
                </c:pt>
                <c:pt idx="42">
                  <c:v>8.9999999999999993E-3</c:v>
                </c:pt>
                <c:pt idx="43">
                  <c:v>8.9999999999999993E-3</c:v>
                </c:pt>
                <c:pt idx="44">
                  <c:v>0.01</c:v>
                </c:pt>
                <c:pt idx="45">
                  <c:v>1.9E-2</c:v>
                </c:pt>
                <c:pt idx="46">
                  <c:v>0.05</c:v>
                </c:pt>
                <c:pt idx="47">
                  <c:v>0.05</c:v>
                </c:pt>
                <c:pt idx="48">
                  <c:v>0.05</c:v>
                </c:pt>
                <c:pt idx="49">
                  <c:v>0.06</c:v>
                </c:pt>
                <c:pt idx="50">
                  <c:v>0.06</c:v>
                </c:pt>
                <c:pt idx="51">
                  <c:v>0.06</c:v>
                </c:pt>
                <c:pt idx="52">
                  <c:v>7.0000000000000007E-2</c:v>
                </c:pt>
                <c:pt idx="53">
                  <c:v>7.2000000000000008E-2</c:v>
                </c:pt>
                <c:pt idx="54">
                  <c:v>0.09</c:v>
                </c:pt>
                <c:pt idx="55">
                  <c:v>0.1</c:v>
                </c:pt>
                <c:pt idx="56">
                  <c:v>0.1</c:v>
                </c:pt>
                <c:pt idx="57">
                  <c:v>0.1</c:v>
                </c:pt>
                <c:pt idx="58">
                  <c:v>0.12</c:v>
                </c:pt>
                <c:pt idx="59">
                  <c:v>0.12</c:v>
                </c:pt>
                <c:pt idx="60">
                  <c:v>0.12</c:v>
                </c:pt>
                <c:pt idx="61">
                  <c:v>0.15</c:v>
                </c:pt>
                <c:pt idx="62">
                  <c:v>0.161</c:v>
                </c:pt>
                <c:pt idx="63">
                  <c:v>0.19</c:v>
                </c:pt>
                <c:pt idx="64">
                  <c:v>0.2</c:v>
                </c:pt>
                <c:pt idx="65">
                  <c:v>0.2</c:v>
                </c:pt>
                <c:pt idx="66">
                  <c:v>0.2</c:v>
                </c:pt>
                <c:pt idx="67">
                  <c:v>0.2</c:v>
                </c:pt>
                <c:pt idx="68">
                  <c:v>0.2</c:v>
                </c:pt>
                <c:pt idx="69">
                  <c:v>0.25</c:v>
                </c:pt>
                <c:pt idx="70">
                  <c:v>0.3</c:v>
                </c:pt>
                <c:pt idx="71">
                  <c:v>0.3</c:v>
                </c:pt>
                <c:pt idx="72">
                  <c:v>0.3</c:v>
                </c:pt>
                <c:pt idx="73">
                  <c:v>0.3</c:v>
                </c:pt>
                <c:pt idx="74">
                  <c:v>0.35</c:v>
                </c:pt>
                <c:pt idx="75">
                  <c:v>0.35399999999999998</c:v>
                </c:pt>
                <c:pt idx="76">
                  <c:v>0.39200000000000002</c:v>
                </c:pt>
                <c:pt idx="77">
                  <c:v>0.4</c:v>
                </c:pt>
                <c:pt idx="78">
                  <c:v>0.4</c:v>
                </c:pt>
                <c:pt idx="79">
                  <c:v>0.4</c:v>
                </c:pt>
                <c:pt idx="80">
                  <c:v>0.25</c:v>
                </c:pt>
                <c:pt idx="81">
                  <c:v>0.1</c:v>
                </c:pt>
                <c:pt idx="82">
                  <c:v>0.15</c:v>
                </c:pt>
                <c:pt idx="83">
                  <c:v>0.2</c:v>
                </c:pt>
                <c:pt idx="84">
                  <c:v>0.15</c:v>
                </c:pt>
                <c:pt idx="85">
                  <c:v>0.2</c:v>
                </c:pt>
                <c:pt idx="86">
                  <c:v>0.15</c:v>
                </c:pt>
                <c:pt idx="87">
                  <c:v>0.2</c:v>
                </c:pt>
              </c:numCache>
            </c:numRef>
          </c:xVal>
          <c:yVal>
            <c:numRef>
              <c:f>'Profile Costs'!$J$3:$J$90</c:f>
              <c:numCache>
                <c:formatCode>General</c:formatCode>
                <c:ptCount val="88"/>
                <c:pt idx="0">
                  <c:v>-1.8761973342881755</c:v>
                </c:pt>
                <c:pt idx="1">
                  <c:v>0</c:v>
                </c:pt>
                <c:pt idx="2">
                  <c:v>0</c:v>
                </c:pt>
                <c:pt idx="3">
                  <c:v>3.3845562872230541</c:v>
                </c:pt>
                <c:pt idx="4">
                  <c:v>8.2680433017650312</c:v>
                </c:pt>
                <c:pt idx="5">
                  <c:v>9.5714890059845033</c:v>
                </c:pt>
                <c:pt idx="6">
                  <c:v>4.7387892322650647</c:v>
                </c:pt>
                <c:pt idx="7">
                  <c:v>3.0947125360602157</c:v>
                </c:pt>
                <c:pt idx="8">
                  <c:v>4.5025198623521954</c:v>
                </c:pt>
                <c:pt idx="9">
                  <c:v>7.3112149412995207</c:v>
                </c:pt>
                <c:pt idx="10">
                  <c:v>-28.768728441395961</c:v>
                </c:pt>
                <c:pt idx="11">
                  <c:v>-9.9216519621180375</c:v>
                </c:pt>
                <c:pt idx="12">
                  <c:v>-25.52397068262534</c:v>
                </c:pt>
                <c:pt idx="13">
                  <c:v>-7.8979820537751095</c:v>
                </c:pt>
                <c:pt idx="14">
                  <c:v>-7.7367813401505394</c:v>
                </c:pt>
                <c:pt idx="15">
                  <c:v>-7.5041997705869905</c:v>
                </c:pt>
                <c:pt idx="16">
                  <c:v>-2.9244859765198084</c:v>
                </c:pt>
                <c:pt idx="17">
                  <c:v>12.10008645344867</c:v>
                </c:pt>
                <c:pt idx="18">
                  <c:v>20.02276210749244</c:v>
                </c:pt>
                <c:pt idx="19">
                  <c:v>24.056124258642001</c:v>
                </c:pt>
                <c:pt idx="20">
                  <c:v>14.692962122044813</c:v>
                </c:pt>
                <c:pt idx="21">
                  <c:v>27.945437761536216</c:v>
                </c:pt>
                <c:pt idx="22">
                  <c:v>34.715724229537258</c:v>
                </c:pt>
                <c:pt idx="23">
                  <c:v>21.895394534811878</c:v>
                </c:pt>
                <c:pt idx="24">
                  <c:v>26.937097223748822</c:v>
                </c:pt>
                <c:pt idx="25">
                  <c:v>31.402605319664406</c:v>
                </c:pt>
                <c:pt idx="26">
                  <c:v>35.580016119069306</c:v>
                </c:pt>
                <c:pt idx="27">
                  <c:v>38.605037732431477</c:v>
                </c:pt>
                <c:pt idx="28">
                  <c:v>45.663421496943194</c:v>
                </c:pt>
                <c:pt idx="29">
                  <c:v>52.865853909710268</c:v>
                </c:pt>
                <c:pt idx="30">
                  <c:v>64.389745770137566</c:v>
                </c:pt>
                <c:pt idx="31">
                  <c:v>19.446567514471077</c:v>
                </c:pt>
                <c:pt idx="32">
                  <c:v>39.469329621963517</c:v>
                </c:pt>
                <c:pt idx="33">
                  <c:v>48.112248517284002</c:v>
                </c:pt>
                <c:pt idx="34">
                  <c:v>70.871934941627927</c:v>
                </c:pt>
                <c:pt idx="35">
                  <c:v>144.04864825534133</c:v>
                </c:pt>
                <c:pt idx="36">
                  <c:v>3.8687001413288766</c:v>
                </c:pt>
                <c:pt idx="37">
                  <c:v>-9.6001077581123972</c:v>
                </c:pt>
                <c:pt idx="38">
                  <c:v>-1.862707475454644</c:v>
                </c:pt>
                <c:pt idx="39">
                  <c:v>-4.8716964742659918</c:v>
                </c:pt>
                <c:pt idx="40">
                  <c:v>-1.862707475454644</c:v>
                </c:pt>
                <c:pt idx="41">
                  <c:v>-14.041948661119626</c:v>
                </c:pt>
                <c:pt idx="42">
                  <c:v>10.173248519790748</c:v>
                </c:pt>
                <c:pt idx="43">
                  <c:v>13.468807899441272</c:v>
                </c:pt>
                <c:pt idx="44">
                  <c:v>3.725414950909288</c:v>
                </c:pt>
                <c:pt idx="45">
                  <c:v>-1.862707475454644</c:v>
                </c:pt>
                <c:pt idx="46">
                  <c:v>-4.8716964742659918</c:v>
                </c:pt>
                <c:pt idx="47">
                  <c:v>6.304548378461873</c:v>
                </c:pt>
                <c:pt idx="48">
                  <c:v>12.179241185664981</c:v>
                </c:pt>
                <c:pt idx="49">
                  <c:v>3.0089889988113478</c:v>
                </c:pt>
                <c:pt idx="50">
                  <c:v>4.2985557125876399</c:v>
                </c:pt>
                <c:pt idx="51">
                  <c:v>13.182237518602095</c:v>
                </c:pt>
                <c:pt idx="52">
                  <c:v>10.029963329371158</c:v>
                </c:pt>
                <c:pt idx="53">
                  <c:v>1.5761370946154682</c:v>
                </c:pt>
                <c:pt idx="54">
                  <c:v>1.719422285035056</c:v>
                </c:pt>
                <c:pt idx="55">
                  <c:v>10.746389281469101</c:v>
                </c:pt>
                <c:pt idx="56">
                  <c:v>13.182237518602095</c:v>
                </c:pt>
                <c:pt idx="57">
                  <c:v>16.47779689825262</c:v>
                </c:pt>
                <c:pt idx="58">
                  <c:v>16.047941326993858</c:v>
                </c:pt>
                <c:pt idx="59">
                  <c:v>18.340504373707265</c:v>
                </c:pt>
                <c:pt idx="60">
                  <c:v>25.074908323427902</c:v>
                </c:pt>
                <c:pt idx="61">
                  <c:v>16.621082088672207</c:v>
                </c:pt>
                <c:pt idx="62">
                  <c:v>24.501767561749553</c:v>
                </c:pt>
                <c:pt idx="63">
                  <c:v>6.5911187593010476</c:v>
                </c:pt>
                <c:pt idx="64">
                  <c:v>6.5911187593010476</c:v>
                </c:pt>
                <c:pt idx="65">
                  <c:v>18.197219183287675</c:v>
                </c:pt>
                <c:pt idx="66">
                  <c:v>25.504763894686665</c:v>
                </c:pt>
                <c:pt idx="67">
                  <c:v>35.391442033638235</c:v>
                </c:pt>
                <c:pt idx="68">
                  <c:v>55.451368692380555</c:v>
                </c:pt>
                <c:pt idx="69">
                  <c:v>19.630071087483554</c:v>
                </c:pt>
                <c:pt idx="70">
                  <c:v>15.044944994056742</c:v>
                </c:pt>
                <c:pt idx="71">
                  <c:v>22.352489705455728</c:v>
                </c:pt>
                <c:pt idx="72">
                  <c:v>25.361478704267075</c:v>
                </c:pt>
                <c:pt idx="73">
                  <c:v>34.531730891120709</c:v>
                </c:pt>
                <c:pt idx="74">
                  <c:v>30.519745559372247</c:v>
                </c:pt>
                <c:pt idx="75">
                  <c:v>29.516749226435131</c:v>
                </c:pt>
                <c:pt idx="76">
                  <c:v>24.358482371329963</c:v>
                </c:pt>
                <c:pt idx="77">
                  <c:v>27.224186179721723</c:v>
                </c:pt>
                <c:pt idx="78">
                  <c:v>29.516749226435131</c:v>
                </c:pt>
                <c:pt idx="79">
                  <c:v>30.376460368952657</c:v>
                </c:pt>
                <c:pt idx="80">
                  <c:v>16.095239351015852</c:v>
                </c:pt>
                <c:pt idx="81">
                  <c:v>2.1948053660476163</c:v>
                </c:pt>
                <c:pt idx="82">
                  <c:v>5.5596176322240725</c:v>
                </c:pt>
                <c:pt idx="83">
                  <c:v>5.1207004507326994</c:v>
                </c:pt>
                <c:pt idx="84">
                  <c:v>0.14630572716379139</c:v>
                </c:pt>
                <c:pt idx="85">
                  <c:v>0.58522290865516557</c:v>
                </c:pt>
                <c:pt idx="86">
                  <c:v>0</c:v>
                </c:pt>
                <c:pt idx="8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0A-45B0-8E13-F354BEFD9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2890368"/>
        <c:axId val="682891024"/>
      </c:scatterChart>
      <c:valAx>
        <c:axId val="682890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VRE Penetration Level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891024"/>
        <c:crosses val="autoZero"/>
        <c:crossBetween val="midCat"/>
      </c:valAx>
      <c:valAx>
        <c:axId val="68289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Profile Costs (2023 USD / 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2890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Aggregate Costs as a function of VRE penetration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'Agg Costs filtered'!$D$3:$D$115</c:f>
              <c:numCache>
                <c:formatCode>General</c:formatCode>
                <c:ptCount val="47"/>
                <c:pt idx="0">
                  <c:v>0.18899999999999997</c:v>
                </c:pt>
                <c:pt idx="1">
                  <c:v>0.18899999999999997</c:v>
                </c:pt>
                <c:pt idx="2">
                  <c:v>0.189</c:v>
                </c:pt>
                <c:pt idx="3">
                  <c:v>0.26500000000000001</c:v>
                </c:pt>
                <c:pt idx="4">
                  <c:v>0.26500000000000001</c:v>
                </c:pt>
                <c:pt idx="5">
                  <c:v>0.26600000000000001</c:v>
                </c:pt>
                <c:pt idx="6">
                  <c:v>0.27800000000000002</c:v>
                </c:pt>
                <c:pt idx="7">
                  <c:v>0.35499999999999998</c:v>
                </c:pt>
                <c:pt idx="8">
                  <c:v>0.36099999999999999</c:v>
                </c:pt>
                <c:pt idx="9">
                  <c:v>0.36299999999999999</c:v>
                </c:pt>
                <c:pt idx="10">
                  <c:v>0.36299999999999999</c:v>
                </c:pt>
                <c:pt idx="11">
                  <c:v>0.36399999999999999</c:v>
                </c:pt>
                <c:pt idx="12">
                  <c:v>0.37</c:v>
                </c:pt>
                <c:pt idx="13">
                  <c:v>0.37</c:v>
                </c:pt>
                <c:pt idx="14">
                  <c:v>0.37</c:v>
                </c:pt>
                <c:pt idx="15">
                  <c:v>0.375</c:v>
                </c:pt>
                <c:pt idx="16">
                  <c:v>0.375</c:v>
                </c:pt>
                <c:pt idx="17">
                  <c:v>0.41499999999999998</c:v>
                </c:pt>
                <c:pt idx="18">
                  <c:v>0.45200000000000001</c:v>
                </c:pt>
                <c:pt idx="19">
                  <c:v>0.45400000000000001</c:v>
                </c:pt>
                <c:pt idx="20">
                  <c:v>0.46</c:v>
                </c:pt>
                <c:pt idx="21">
                  <c:v>0.46</c:v>
                </c:pt>
                <c:pt idx="22">
                  <c:v>0.47</c:v>
                </c:pt>
                <c:pt idx="23">
                  <c:v>0.47099999999999997</c:v>
                </c:pt>
                <c:pt idx="24">
                  <c:v>0.505</c:v>
                </c:pt>
                <c:pt idx="25">
                  <c:v>0.51300000000000001</c:v>
                </c:pt>
                <c:pt idx="26">
                  <c:v>0.51400000000000001</c:v>
                </c:pt>
                <c:pt idx="27">
                  <c:v>0.51800000000000002</c:v>
                </c:pt>
                <c:pt idx="28">
                  <c:v>0.51900000000000002</c:v>
                </c:pt>
                <c:pt idx="29">
                  <c:v>0.52800000000000002</c:v>
                </c:pt>
                <c:pt idx="30">
                  <c:v>0.53</c:v>
                </c:pt>
                <c:pt idx="31">
                  <c:v>0.53299999999999992</c:v>
                </c:pt>
                <c:pt idx="32">
                  <c:v>0.53900000000000003</c:v>
                </c:pt>
                <c:pt idx="33">
                  <c:v>0.53900000000000003</c:v>
                </c:pt>
                <c:pt idx="34">
                  <c:v>0.55299999999999994</c:v>
                </c:pt>
                <c:pt idx="35">
                  <c:v>0.55899999999999994</c:v>
                </c:pt>
                <c:pt idx="36">
                  <c:v>0.56100000000000005</c:v>
                </c:pt>
                <c:pt idx="37">
                  <c:v>0.58899999999999997</c:v>
                </c:pt>
                <c:pt idx="38">
                  <c:v>0.59</c:v>
                </c:pt>
                <c:pt idx="39">
                  <c:v>0.60199999999999998</c:v>
                </c:pt>
                <c:pt idx="40">
                  <c:v>0.60199999999999998</c:v>
                </c:pt>
                <c:pt idx="41">
                  <c:v>0.66799999999999993</c:v>
                </c:pt>
                <c:pt idx="42">
                  <c:v>0.71900000000000008</c:v>
                </c:pt>
                <c:pt idx="43">
                  <c:v>0.72699999999999998</c:v>
                </c:pt>
                <c:pt idx="44">
                  <c:v>0.76200000000000001</c:v>
                </c:pt>
                <c:pt idx="45">
                  <c:v>0.82900000000000007</c:v>
                </c:pt>
                <c:pt idx="46">
                  <c:v>0.83099999999999996</c:v>
                </c:pt>
              </c:numCache>
            </c:numRef>
          </c:xVal>
          <c:yVal>
            <c:numRef>
              <c:f>'Agg Costs filtered'!$K$3:$K$115</c:f>
              <c:numCache>
                <c:formatCode>General</c:formatCode>
                <c:ptCount val="47"/>
                <c:pt idx="0">
                  <c:v>17.059641236154235</c:v>
                </c:pt>
                <c:pt idx="1">
                  <c:v>19.113116570135762</c:v>
                </c:pt>
                <c:pt idx="2">
                  <c:v>24.957623289929341</c:v>
                </c:pt>
                <c:pt idx="3">
                  <c:v>19.155137995318789</c:v>
                </c:pt>
                <c:pt idx="4">
                  <c:v>13.823295460539336</c:v>
                </c:pt>
                <c:pt idx="5">
                  <c:v>20.537467541372727</c:v>
                </c:pt>
                <c:pt idx="6">
                  <c:v>24.289504880661976</c:v>
                </c:pt>
                <c:pt idx="7">
                  <c:v>25.079407478407077</c:v>
                </c:pt>
                <c:pt idx="8">
                  <c:v>45.221923720907249</c:v>
                </c:pt>
                <c:pt idx="9">
                  <c:v>23.697077932353142</c:v>
                </c:pt>
                <c:pt idx="10">
                  <c:v>33.329484266930962</c:v>
                </c:pt>
                <c:pt idx="11">
                  <c:v>20.537467541372727</c:v>
                </c:pt>
                <c:pt idx="12">
                  <c:v>57.070462687083811</c:v>
                </c:pt>
                <c:pt idx="13">
                  <c:v>22.117272736862933</c:v>
                </c:pt>
                <c:pt idx="14">
                  <c:v>15.995527604338371</c:v>
                </c:pt>
                <c:pt idx="15">
                  <c:v>21.16659190411729</c:v>
                </c:pt>
                <c:pt idx="16">
                  <c:v>23.062107597023314</c:v>
                </c:pt>
                <c:pt idx="17">
                  <c:v>26.264261375024738</c:v>
                </c:pt>
                <c:pt idx="18">
                  <c:v>15.995527604338371</c:v>
                </c:pt>
                <c:pt idx="19">
                  <c:v>23.302126633480597</c:v>
                </c:pt>
                <c:pt idx="20">
                  <c:v>26.856688323333561</c:v>
                </c:pt>
                <c:pt idx="21">
                  <c:v>28.436493518823774</c:v>
                </c:pt>
                <c:pt idx="22">
                  <c:v>34.360763001912055</c:v>
                </c:pt>
                <c:pt idx="23">
                  <c:v>70.498806848750604</c:v>
                </c:pt>
                <c:pt idx="24">
                  <c:v>85.901907504780141</c:v>
                </c:pt>
                <c:pt idx="25">
                  <c:v>24.092029231225691</c:v>
                </c:pt>
                <c:pt idx="26">
                  <c:v>21.919797087426659</c:v>
                </c:pt>
                <c:pt idx="27">
                  <c:v>48.184058462451382</c:v>
                </c:pt>
                <c:pt idx="28">
                  <c:v>49.763863657941599</c:v>
                </c:pt>
                <c:pt idx="29">
                  <c:v>11.453587667304019</c:v>
                </c:pt>
                <c:pt idx="30">
                  <c:v>20.537467541372727</c:v>
                </c:pt>
                <c:pt idx="31">
                  <c:v>41.543385602857072</c:v>
                </c:pt>
                <c:pt idx="32">
                  <c:v>28.831444817696326</c:v>
                </c:pt>
                <c:pt idx="33">
                  <c:v>33.768336053603228</c:v>
                </c:pt>
                <c:pt idx="34">
                  <c:v>27.64293718821288</c:v>
                </c:pt>
                <c:pt idx="35">
                  <c:v>25.115582931004845</c:v>
                </c:pt>
                <c:pt idx="36">
                  <c:v>44.432021123162144</c:v>
                </c:pt>
                <c:pt idx="37">
                  <c:v>19.747564943627616</c:v>
                </c:pt>
                <c:pt idx="38">
                  <c:v>28.831444817696326</c:v>
                </c:pt>
                <c:pt idx="39">
                  <c:v>57.267938336520096</c:v>
                </c:pt>
                <c:pt idx="40">
                  <c:v>53.910852296103407</c:v>
                </c:pt>
                <c:pt idx="41">
                  <c:v>51.178923708462705</c:v>
                </c:pt>
                <c:pt idx="42">
                  <c:v>32.855605343704454</c:v>
                </c:pt>
                <c:pt idx="43">
                  <c:v>29.538452881118904</c:v>
                </c:pt>
                <c:pt idx="44">
                  <c:v>62.709977506974361</c:v>
                </c:pt>
                <c:pt idx="45">
                  <c:v>42.33318380823458</c:v>
                </c:pt>
                <c:pt idx="46">
                  <c:v>38.384192781347025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599-4F1B-BC29-3BCD0BD06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7077928"/>
        <c:axId val="497078912"/>
      </c:scatterChart>
      <c:valAx>
        <c:axId val="497077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VRE Penetration Level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078912"/>
        <c:crosses val="autoZero"/>
        <c:crossBetween val="midCat"/>
      </c:valAx>
      <c:valAx>
        <c:axId val="497078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Aggregate Costs (2023 USD / 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70779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634-4340-9AA6-E95991A92FE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634-4340-9AA6-E95991A92FE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2A6-5A49-B6A7-9AA8D92F54EE}"/>
              </c:ext>
            </c:extLst>
          </c:dPt>
          <c:cat>
            <c:strRef>
              <c:f>'Agg Costs filtered'!$M$69:$M$76</c:f>
              <c:strCache>
                <c:ptCount val="8"/>
                <c:pt idx="0">
                  <c:v>0-20</c:v>
                </c:pt>
                <c:pt idx="1">
                  <c:v>20-40</c:v>
                </c:pt>
                <c:pt idx="2">
                  <c:v>40-60</c:v>
                </c:pt>
                <c:pt idx="3">
                  <c:v>60-80</c:v>
                </c:pt>
                <c:pt idx="4">
                  <c:v>80-100</c:v>
                </c:pt>
                <c:pt idx="5">
                  <c:v>PV LCOE</c:v>
                </c:pt>
                <c:pt idx="6">
                  <c:v>PV + Battery LCOE</c:v>
                </c:pt>
                <c:pt idx="7">
                  <c:v>Wind, Onshore LCOE</c:v>
                </c:pt>
              </c:strCache>
            </c:strRef>
          </c:cat>
          <c:val>
            <c:numRef>
              <c:f>'Agg Costs filtered'!$N$69:$N$76</c:f>
              <c:numCache>
                <c:formatCode>General</c:formatCode>
                <c:ptCount val="8"/>
                <c:pt idx="0">
                  <c:v>20.376793698739778</c:v>
                </c:pt>
                <c:pt idx="1">
                  <c:v>26.077337810520696</c:v>
                </c:pt>
                <c:pt idx="2">
                  <c:v>33.521822542546651</c:v>
                </c:pt>
                <c:pt idx="3">
                  <c:v>47.910291678813984</c:v>
                </c:pt>
                <c:pt idx="4">
                  <c:v>40.358688294790802</c:v>
                </c:pt>
                <c:pt idx="5">
                  <c:v>23.22</c:v>
                </c:pt>
                <c:pt idx="6">
                  <c:v>36.270000000000003</c:v>
                </c:pt>
                <c:pt idx="7">
                  <c:v>31.07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4-4340-9AA6-E95991A92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80311184"/>
        <c:axId val="1780304464"/>
      </c:barChart>
      <c:catAx>
        <c:axId val="1780311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VRE Penetration Level (%)</a:t>
                </a:r>
              </a:p>
            </c:rich>
          </c:tx>
          <c:layout>
            <c:manualLayout>
              <c:xMode val="edge"/>
              <c:yMode val="edge"/>
              <c:x val="0.25513206418817902"/>
              <c:y val="0.89506150118809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304464"/>
        <c:crosses val="autoZero"/>
        <c:auto val="1"/>
        <c:lblAlgn val="ctr"/>
        <c:lblOffset val="100"/>
        <c:noMultiLvlLbl val="0"/>
      </c:catAx>
      <c:valAx>
        <c:axId val="178030446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 Aggregate Costs (2023 USD / MWh)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311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Capacity credit - all</a:t>
            </a:r>
            <a:r>
              <a:rPr lang="en-GB" b="1" baseline="0"/>
              <a:t> data</a:t>
            </a:r>
            <a:endParaRPr lang="en-GB" b="1"/>
          </a:p>
        </c:rich>
      </c:tx>
      <c:layout>
        <c:manualLayout>
          <c:xMode val="edge"/>
          <c:yMode val="edge"/>
          <c:x val="0.36584440417936825"/>
          <c:y val="2.03045685279187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'Capacity Credit'!$D$2</c:f>
              <c:strCache>
                <c:ptCount val="1"/>
                <c:pt idx="0">
                  <c:v>Wind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triangle"/>
            <c:size val="8"/>
            <c:spPr>
              <a:noFill/>
              <a:ln w="19050">
                <a:solidFill>
                  <a:srgbClr val="00B0F0"/>
                </a:solidFill>
              </a:ln>
              <a:effectLst/>
            </c:spPr>
          </c:marker>
          <c:xVal>
            <c:numRef>
              <c:f>'Capacity Credit'!$B$2:$B$72</c:f>
              <c:numCache>
                <c:formatCode>0%</c:formatCode>
                <c:ptCount val="71"/>
                <c:pt idx="0">
                  <c:v>0.04</c:v>
                </c:pt>
                <c:pt idx="1">
                  <c:v>0.08</c:v>
                </c:pt>
                <c:pt idx="2">
                  <c:v>0.12</c:v>
                </c:pt>
                <c:pt idx="3">
                  <c:v>0.16</c:v>
                </c:pt>
                <c:pt idx="4">
                  <c:v>0.2</c:v>
                </c:pt>
                <c:pt idx="5">
                  <c:v>1.6E-2</c:v>
                </c:pt>
                <c:pt idx="6">
                  <c:v>0.28000000000000003</c:v>
                </c:pt>
                <c:pt idx="7">
                  <c:v>0.28000000000000003</c:v>
                </c:pt>
                <c:pt idx="8">
                  <c:v>7.1999999999999995E-2</c:v>
                </c:pt>
                <c:pt idx="9">
                  <c:v>0.14199999999999999</c:v>
                </c:pt>
                <c:pt idx="10">
                  <c:v>0.214</c:v>
                </c:pt>
                <c:pt idx="11">
                  <c:v>0.28599999999999998</c:v>
                </c:pt>
                <c:pt idx="12">
                  <c:v>0.35599999999999998</c:v>
                </c:pt>
                <c:pt idx="13">
                  <c:v>0.29799999999999999</c:v>
                </c:pt>
                <c:pt idx="14">
                  <c:v>0.29799999999999999</c:v>
                </c:pt>
                <c:pt idx="15">
                  <c:v>0.04</c:v>
                </c:pt>
                <c:pt idx="16">
                  <c:v>0.1</c:v>
                </c:pt>
                <c:pt idx="17">
                  <c:v>0.1</c:v>
                </c:pt>
                <c:pt idx="18">
                  <c:v>0.03</c:v>
                </c:pt>
                <c:pt idx="19">
                  <c:v>0.04</c:v>
                </c:pt>
                <c:pt idx="20">
                  <c:v>0.09</c:v>
                </c:pt>
                <c:pt idx="21">
                  <c:v>0.13</c:v>
                </c:pt>
                <c:pt idx="22">
                  <c:v>0.04</c:v>
                </c:pt>
                <c:pt idx="23">
                  <c:v>0.08</c:v>
                </c:pt>
                <c:pt idx="24">
                  <c:v>0.12</c:v>
                </c:pt>
                <c:pt idx="25">
                  <c:v>0.15</c:v>
                </c:pt>
                <c:pt idx="26">
                  <c:v>0.19</c:v>
                </c:pt>
                <c:pt idx="27">
                  <c:v>0.2</c:v>
                </c:pt>
                <c:pt idx="28">
                  <c:v>0.3</c:v>
                </c:pt>
                <c:pt idx="29">
                  <c:v>0.2</c:v>
                </c:pt>
                <c:pt idx="30">
                  <c:v>0.3</c:v>
                </c:pt>
                <c:pt idx="31">
                  <c:v>0.15</c:v>
                </c:pt>
                <c:pt idx="32">
                  <c:v>0.2</c:v>
                </c:pt>
                <c:pt idx="33">
                  <c:v>0.25</c:v>
                </c:pt>
                <c:pt idx="34">
                  <c:v>0.11</c:v>
                </c:pt>
                <c:pt idx="35">
                  <c:v>0.22</c:v>
                </c:pt>
                <c:pt idx="36">
                  <c:v>0.33</c:v>
                </c:pt>
                <c:pt idx="37">
                  <c:v>5.0000000000000001E-3</c:v>
                </c:pt>
                <c:pt idx="38">
                  <c:v>2.9000000000000001E-2</c:v>
                </c:pt>
                <c:pt idx="39">
                  <c:v>6.0999999999999999E-2</c:v>
                </c:pt>
                <c:pt idx="40">
                  <c:v>9.0999999999999998E-2</c:v>
                </c:pt>
                <c:pt idx="41">
                  <c:v>0.11899999999999999</c:v>
                </c:pt>
                <c:pt idx="42">
                  <c:v>0.152</c:v>
                </c:pt>
                <c:pt idx="43">
                  <c:v>0.18099999999999999</c:v>
                </c:pt>
                <c:pt idx="44">
                  <c:v>0.219</c:v>
                </c:pt>
                <c:pt idx="45">
                  <c:v>5.8999999999999999E-3</c:v>
                </c:pt>
                <c:pt idx="46">
                  <c:v>1.17E-2</c:v>
                </c:pt>
                <c:pt idx="47">
                  <c:v>2.3099999999999999E-2</c:v>
                </c:pt>
                <c:pt idx="48">
                  <c:v>4.48E-2</c:v>
                </c:pt>
                <c:pt idx="49">
                  <c:v>5.8999999999999999E-3</c:v>
                </c:pt>
                <c:pt idx="50">
                  <c:v>1.17E-2</c:v>
                </c:pt>
                <c:pt idx="51">
                  <c:v>2.3099999999999999E-2</c:v>
                </c:pt>
                <c:pt idx="52">
                  <c:v>4.48E-2</c:v>
                </c:pt>
                <c:pt idx="53">
                  <c:v>5.8999999999999999E-3</c:v>
                </c:pt>
                <c:pt idx="54">
                  <c:v>1.17E-2</c:v>
                </c:pt>
                <c:pt idx="55">
                  <c:v>2.3099999999999999E-2</c:v>
                </c:pt>
                <c:pt idx="56">
                  <c:v>4.48E-2</c:v>
                </c:pt>
                <c:pt idx="57">
                  <c:v>5.8999999999999999E-3</c:v>
                </c:pt>
                <c:pt idx="58">
                  <c:v>1.17E-2</c:v>
                </c:pt>
                <c:pt idx="59">
                  <c:v>2.3099999999999999E-2</c:v>
                </c:pt>
                <c:pt idx="60">
                  <c:v>4.48E-2</c:v>
                </c:pt>
                <c:pt idx="61">
                  <c:v>0.34</c:v>
                </c:pt>
                <c:pt idx="62">
                  <c:v>0.51</c:v>
                </c:pt>
                <c:pt idx="63">
                  <c:v>0.68</c:v>
                </c:pt>
                <c:pt idx="64">
                  <c:v>5.0000000000000001E-3</c:v>
                </c:pt>
                <c:pt idx="65">
                  <c:v>1.03E-2</c:v>
                </c:pt>
                <c:pt idx="66">
                  <c:v>2.5000000000000001E-2</c:v>
                </c:pt>
                <c:pt idx="67">
                  <c:v>0.05</c:v>
                </c:pt>
                <c:pt idx="68">
                  <c:v>0.1</c:v>
                </c:pt>
                <c:pt idx="69">
                  <c:v>0.25</c:v>
                </c:pt>
                <c:pt idx="70">
                  <c:v>0.1</c:v>
                </c:pt>
              </c:numCache>
            </c:numRef>
          </c:xVal>
          <c:yVal>
            <c:numRef>
              <c:f>'Capacity Credit'!$C$2:$C$72</c:f>
              <c:numCache>
                <c:formatCode>0%</c:formatCode>
                <c:ptCount val="71"/>
                <c:pt idx="0">
                  <c:v>0.34</c:v>
                </c:pt>
                <c:pt idx="1">
                  <c:v>0.3</c:v>
                </c:pt>
                <c:pt idx="2">
                  <c:v>0.26</c:v>
                </c:pt>
                <c:pt idx="3">
                  <c:v>0.23</c:v>
                </c:pt>
                <c:pt idx="4">
                  <c:v>0.2</c:v>
                </c:pt>
                <c:pt idx="5">
                  <c:v>0.34499999999999997</c:v>
                </c:pt>
                <c:pt idx="6">
                  <c:v>0.14899999999999999</c:v>
                </c:pt>
                <c:pt idx="7">
                  <c:v>0.10299999999999999</c:v>
                </c:pt>
                <c:pt idx="8">
                  <c:v>0.34100000000000003</c:v>
                </c:pt>
                <c:pt idx="9">
                  <c:v>0.30199999999999999</c:v>
                </c:pt>
                <c:pt idx="10">
                  <c:v>0.26</c:v>
                </c:pt>
                <c:pt idx="11">
                  <c:v>0.23100000000000001</c:v>
                </c:pt>
                <c:pt idx="12">
                  <c:v>0.20100000000000001</c:v>
                </c:pt>
                <c:pt idx="13">
                  <c:v>0.20200000000000001</c:v>
                </c:pt>
                <c:pt idx="14">
                  <c:v>5.2999999999999999E-2</c:v>
                </c:pt>
                <c:pt idx="15">
                  <c:v>0.252</c:v>
                </c:pt>
                <c:pt idx="16">
                  <c:v>0.08</c:v>
                </c:pt>
                <c:pt idx="17">
                  <c:v>0.14000000000000001</c:v>
                </c:pt>
                <c:pt idx="18">
                  <c:v>0.19</c:v>
                </c:pt>
                <c:pt idx="19">
                  <c:v>0.13</c:v>
                </c:pt>
                <c:pt idx="20">
                  <c:v>0.08</c:v>
                </c:pt>
                <c:pt idx="21">
                  <c:v>0.06</c:v>
                </c:pt>
                <c:pt idx="22">
                  <c:v>0.34</c:v>
                </c:pt>
                <c:pt idx="23">
                  <c:v>0.3</c:v>
                </c:pt>
                <c:pt idx="24">
                  <c:v>0.26</c:v>
                </c:pt>
                <c:pt idx="25">
                  <c:v>0.23</c:v>
                </c:pt>
                <c:pt idx="26">
                  <c:v>0.2</c:v>
                </c:pt>
                <c:pt idx="27">
                  <c:v>0.14000000000000001</c:v>
                </c:pt>
                <c:pt idx="28">
                  <c:v>0.16</c:v>
                </c:pt>
                <c:pt idx="29">
                  <c:v>0.24</c:v>
                </c:pt>
                <c:pt idx="30">
                  <c:v>0.25</c:v>
                </c:pt>
                <c:pt idx="31">
                  <c:v>4.4999999999999998E-2</c:v>
                </c:pt>
                <c:pt idx="32">
                  <c:v>5.0999999999999997E-2</c:v>
                </c:pt>
                <c:pt idx="33">
                  <c:v>4.1000000000000002E-2</c:v>
                </c:pt>
                <c:pt idx="34">
                  <c:v>0.11</c:v>
                </c:pt>
                <c:pt idx="35">
                  <c:v>0.11</c:v>
                </c:pt>
                <c:pt idx="36">
                  <c:v>0.11</c:v>
                </c:pt>
                <c:pt idx="37">
                  <c:v>0.41</c:v>
                </c:pt>
                <c:pt idx="38">
                  <c:v>0.372</c:v>
                </c:pt>
                <c:pt idx="39">
                  <c:v>0.32700000000000001</c:v>
                </c:pt>
                <c:pt idx="40">
                  <c:v>0.28999999999999998</c:v>
                </c:pt>
                <c:pt idx="41">
                  <c:v>0.26100000000000001</c:v>
                </c:pt>
                <c:pt idx="42">
                  <c:v>0.23</c:v>
                </c:pt>
                <c:pt idx="43">
                  <c:v>0.20899999999999999</c:v>
                </c:pt>
                <c:pt idx="44">
                  <c:v>0.191</c:v>
                </c:pt>
                <c:pt idx="45">
                  <c:v>0.28000000000000003</c:v>
                </c:pt>
                <c:pt idx="46">
                  <c:v>0.22600000000000001</c:v>
                </c:pt>
                <c:pt idx="47">
                  <c:v>0.22900000000000001</c:v>
                </c:pt>
                <c:pt idx="48">
                  <c:v>0.192</c:v>
                </c:pt>
                <c:pt idx="49">
                  <c:v>0.21</c:v>
                </c:pt>
                <c:pt idx="50">
                  <c:v>0.17</c:v>
                </c:pt>
                <c:pt idx="51">
                  <c:v>0.20799999999999999</c:v>
                </c:pt>
                <c:pt idx="52">
                  <c:v>0.18</c:v>
                </c:pt>
                <c:pt idx="53">
                  <c:v>0.28899999999999998</c:v>
                </c:pt>
                <c:pt idx="54">
                  <c:v>0.20499999999999999</c:v>
                </c:pt>
                <c:pt idx="55">
                  <c:v>0.17100000000000001</c:v>
                </c:pt>
                <c:pt idx="56">
                  <c:v>0.11700000000000001</c:v>
                </c:pt>
                <c:pt idx="57">
                  <c:v>0.20200000000000001</c:v>
                </c:pt>
                <c:pt idx="58">
                  <c:v>0.16</c:v>
                </c:pt>
                <c:pt idx="59">
                  <c:v>0.19700000000000001</c:v>
                </c:pt>
                <c:pt idx="60">
                  <c:v>0.16800000000000001</c:v>
                </c:pt>
                <c:pt idx="61">
                  <c:v>0.182</c:v>
                </c:pt>
                <c:pt idx="62">
                  <c:v>0.13300000000000001</c:v>
                </c:pt>
                <c:pt idx="63">
                  <c:v>0.1</c:v>
                </c:pt>
                <c:pt idx="64">
                  <c:v>0.26600000000000001</c:v>
                </c:pt>
                <c:pt idx="65">
                  <c:v>0.26600000000000001</c:v>
                </c:pt>
                <c:pt idx="66">
                  <c:v>0.255</c:v>
                </c:pt>
                <c:pt idx="67">
                  <c:v>0.24399999999999999</c:v>
                </c:pt>
                <c:pt idx="68">
                  <c:v>0.23499999999999999</c:v>
                </c:pt>
                <c:pt idx="69">
                  <c:v>0.192</c:v>
                </c:pt>
                <c:pt idx="70">
                  <c:v>0.22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5B-3E44-8F38-321C61045D32}"/>
            </c:ext>
          </c:extLst>
        </c:ser>
        <c:ser>
          <c:idx val="1"/>
          <c:order val="1"/>
          <c:tx>
            <c:strRef>
              <c:f>'Capacity Credit'!$D$73</c:f>
              <c:strCache>
                <c:ptCount val="1"/>
                <c:pt idx="0">
                  <c:v>Solar PV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'Capacity Credit'!$B$73:$B$382</c:f>
              <c:numCache>
                <c:formatCode>0%</c:formatCode>
                <c:ptCount val="310"/>
                <c:pt idx="0">
                  <c:v>0.11</c:v>
                </c:pt>
                <c:pt idx="1">
                  <c:v>0.22</c:v>
                </c:pt>
                <c:pt idx="2">
                  <c:v>0.33</c:v>
                </c:pt>
                <c:pt idx="3">
                  <c:v>0.01</c:v>
                </c:pt>
                <c:pt idx="4">
                  <c:v>0.02</c:v>
                </c:pt>
                <c:pt idx="5">
                  <c:v>0.05</c:v>
                </c:pt>
                <c:pt idx="6">
                  <c:v>0.1</c:v>
                </c:pt>
                <c:pt idx="7">
                  <c:v>0.15</c:v>
                </c:pt>
                <c:pt idx="8">
                  <c:v>0.19900000000000001</c:v>
                </c:pt>
                <c:pt idx="9">
                  <c:v>0.01</c:v>
                </c:pt>
                <c:pt idx="10">
                  <c:v>0.02</c:v>
                </c:pt>
                <c:pt idx="11">
                  <c:v>0.05</c:v>
                </c:pt>
                <c:pt idx="12">
                  <c:v>0.1</c:v>
                </c:pt>
                <c:pt idx="13">
                  <c:v>0.15</c:v>
                </c:pt>
                <c:pt idx="14">
                  <c:v>0.2</c:v>
                </c:pt>
                <c:pt idx="15">
                  <c:v>0.01</c:v>
                </c:pt>
                <c:pt idx="16">
                  <c:v>0.02</c:v>
                </c:pt>
                <c:pt idx="17">
                  <c:v>0.05</c:v>
                </c:pt>
                <c:pt idx="18">
                  <c:v>0.1</c:v>
                </c:pt>
                <c:pt idx="19">
                  <c:v>0.15</c:v>
                </c:pt>
                <c:pt idx="20">
                  <c:v>0.2</c:v>
                </c:pt>
                <c:pt idx="21">
                  <c:v>0.01</c:v>
                </c:pt>
                <c:pt idx="22">
                  <c:v>0.05</c:v>
                </c:pt>
                <c:pt idx="23">
                  <c:v>0.1</c:v>
                </c:pt>
                <c:pt idx="24">
                  <c:v>0.15</c:v>
                </c:pt>
                <c:pt idx="25">
                  <c:v>0.2</c:v>
                </c:pt>
                <c:pt idx="26">
                  <c:v>0.01</c:v>
                </c:pt>
                <c:pt idx="27">
                  <c:v>0.02</c:v>
                </c:pt>
                <c:pt idx="28">
                  <c:v>0.05</c:v>
                </c:pt>
                <c:pt idx="29">
                  <c:v>0.1</c:v>
                </c:pt>
                <c:pt idx="30">
                  <c:v>0.15</c:v>
                </c:pt>
                <c:pt idx="31">
                  <c:v>0.2</c:v>
                </c:pt>
                <c:pt idx="32">
                  <c:v>0.01</c:v>
                </c:pt>
                <c:pt idx="33">
                  <c:v>0.02</c:v>
                </c:pt>
                <c:pt idx="34">
                  <c:v>0.05</c:v>
                </c:pt>
                <c:pt idx="35">
                  <c:v>0.1</c:v>
                </c:pt>
                <c:pt idx="36">
                  <c:v>0.15</c:v>
                </c:pt>
                <c:pt idx="37">
                  <c:v>0.19900000000000001</c:v>
                </c:pt>
                <c:pt idx="38">
                  <c:v>0.01</c:v>
                </c:pt>
                <c:pt idx="39">
                  <c:v>0.02</c:v>
                </c:pt>
                <c:pt idx="40">
                  <c:v>0.05</c:v>
                </c:pt>
                <c:pt idx="41">
                  <c:v>0.1</c:v>
                </c:pt>
                <c:pt idx="42">
                  <c:v>0.15</c:v>
                </c:pt>
                <c:pt idx="43">
                  <c:v>0.2</c:v>
                </c:pt>
                <c:pt idx="44">
                  <c:v>0.01</c:v>
                </c:pt>
                <c:pt idx="45">
                  <c:v>0.02</c:v>
                </c:pt>
                <c:pt idx="46">
                  <c:v>0.05</c:v>
                </c:pt>
                <c:pt idx="47">
                  <c:v>0.1</c:v>
                </c:pt>
                <c:pt idx="48">
                  <c:v>0.15</c:v>
                </c:pt>
                <c:pt idx="49">
                  <c:v>0.2</c:v>
                </c:pt>
                <c:pt idx="50">
                  <c:v>0.01</c:v>
                </c:pt>
                <c:pt idx="51">
                  <c:v>0.02</c:v>
                </c:pt>
                <c:pt idx="52">
                  <c:v>0.05</c:v>
                </c:pt>
                <c:pt idx="53">
                  <c:v>0.1</c:v>
                </c:pt>
                <c:pt idx="54">
                  <c:v>0.15</c:v>
                </c:pt>
                <c:pt idx="55">
                  <c:v>0.2</c:v>
                </c:pt>
                <c:pt idx="56">
                  <c:v>0.01</c:v>
                </c:pt>
                <c:pt idx="57">
                  <c:v>0.02</c:v>
                </c:pt>
                <c:pt idx="58">
                  <c:v>0.05</c:v>
                </c:pt>
                <c:pt idx="59">
                  <c:v>0.1</c:v>
                </c:pt>
                <c:pt idx="60">
                  <c:v>0.15</c:v>
                </c:pt>
                <c:pt idx="61">
                  <c:v>0.2</c:v>
                </c:pt>
                <c:pt idx="62">
                  <c:v>0.01</c:v>
                </c:pt>
                <c:pt idx="63">
                  <c:v>0.02</c:v>
                </c:pt>
                <c:pt idx="64">
                  <c:v>0.05</c:v>
                </c:pt>
                <c:pt idx="65">
                  <c:v>0.1</c:v>
                </c:pt>
                <c:pt idx="66">
                  <c:v>0.15</c:v>
                </c:pt>
                <c:pt idx="67">
                  <c:v>0.2</c:v>
                </c:pt>
                <c:pt idx="68">
                  <c:v>0.01</c:v>
                </c:pt>
                <c:pt idx="69">
                  <c:v>0.02</c:v>
                </c:pt>
                <c:pt idx="70">
                  <c:v>0.05</c:v>
                </c:pt>
                <c:pt idx="71">
                  <c:v>0.1</c:v>
                </c:pt>
                <c:pt idx="72">
                  <c:v>0.15</c:v>
                </c:pt>
                <c:pt idx="73">
                  <c:v>0.2</c:v>
                </c:pt>
                <c:pt idx="74">
                  <c:v>0.01</c:v>
                </c:pt>
                <c:pt idx="75">
                  <c:v>0.02</c:v>
                </c:pt>
                <c:pt idx="76">
                  <c:v>0.05</c:v>
                </c:pt>
                <c:pt idx="77">
                  <c:v>0.1</c:v>
                </c:pt>
                <c:pt idx="78">
                  <c:v>0.15</c:v>
                </c:pt>
                <c:pt idx="79">
                  <c:v>0.2</c:v>
                </c:pt>
                <c:pt idx="80">
                  <c:v>0.01</c:v>
                </c:pt>
                <c:pt idx="81">
                  <c:v>0.02</c:v>
                </c:pt>
                <c:pt idx="82">
                  <c:v>0.05</c:v>
                </c:pt>
                <c:pt idx="83">
                  <c:v>0.1</c:v>
                </c:pt>
                <c:pt idx="84">
                  <c:v>0.15</c:v>
                </c:pt>
                <c:pt idx="85">
                  <c:v>0.2</c:v>
                </c:pt>
                <c:pt idx="86">
                  <c:v>0.01</c:v>
                </c:pt>
                <c:pt idx="87">
                  <c:v>0.02</c:v>
                </c:pt>
                <c:pt idx="88">
                  <c:v>0.05</c:v>
                </c:pt>
                <c:pt idx="89">
                  <c:v>0.1</c:v>
                </c:pt>
                <c:pt idx="90">
                  <c:v>0.15</c:v>
                </c:pt>
                <c:pt idx="91">
                  <c:v>0.2</c:v>
                </c:pt>
                <c:pt idx="92">
                  <c:v>0.33</c:v>
                </c:pt>
                <c:pt idx="93">
                  <c:v>0.33</c:v>
                </c:pt>
                <c:pt idx="94">
                  <c:v>0.02</c:v>
                </c:pt>
                <c:pt idx="95">
                  <c:v>0.04</c:v>
                </c:pt>
                <c:pt idx="96">
                  <c:v>0.06</c:v>
                </c:pt>
                <c:pt idx="97">
                  <c:v>0.08</c:v>
                </c:pt>
                <c:pt idx="98">
                  <c:v>0.1</c:v>
                </c:pt>
                <c:pt idx="99">
                  <c:v>0.12</c:v>
                </c:pt>
                <c:pt idx="100">
                  <c:v>0.14000000000000001</c:v>
                </c:pt>
                <c:pt idx="101">
                  <c:v>0.16</c:v>
                </c:pt>
                <c:pt idx="102">
                  <c:v>0.18</c:v>
                </c:pt>
                <c:pt idx="103">
                  <c:v>0.02</c:v>
                </c:pt>
                <c:pt idx="104">
                  <c:v>0.04</c:v>
                </c:pt>
                <c:pt idx="105">
                  <c:v>0.06</c:v>
                </c:pt>
                <c:pt idx="106">
                  <c:v>0.08</c:v>
                </c:pt>
                <c:pt idx="107">
                  <c:v>0.1</c:v>
                </c:pt>
                <c:pt idx="108">
                  <c:v>0.12</c:v>
                </c:pt>
                <c:pt idx="109">
                  <c:v>0.14000000000000001</c:v>
                </c:pt>
                <c:pt idx="110">
                  <c:v>0.16</c:v>
                </c:pt>
                <c:pt idx="111">
                  <c:v>0.18</c:v>
                </c:pt>
                <c:pt idx="112">
                  <c:v>0.02</c:v>
                </c:pt>
                <c:pt idx="113">
                  <c:v>0.04</c:v>
                </c:pt>
                <c:pt idx="114">
                  <c:v>0.06</c:v>
                </c:pt>
                <c:pt idx="115">
                  <c:v>0.08</c:v>
                </c:pt>
                <c:pt idx="116">
                  <c:v>0.1</c:v>
                </c:pt>
                <c:pt idx="117">
                  <c:v>0.12</c:v>
                </c:pt>
                <c:pt idx="118">
                  <c:v>0.14000000000000001</c:v>
                </c:pt>
                <c:pt idx="119">
                  <c:v>0.16</c:v>
                </c:pt>
                <c:pt idx="120">
                  <c:v>0.18</c:v>
                </c:pt>
                <c:pt idx="121">
                  <c:v>0.02</c:v>
                </c:pt>
                <c:pt idx="122">
                  <c:v>0.04</c:v>
                </c:pt>
                <c:pt idx="123">
                  <c:v>0.06</c:v>
                </c:pt>
                <c:pt idx="124">
                  <c:v>0.08</c:v>
                </c:pt>
                <c:pt idx="125">
                  <c:v>0.1</c:v>
                </c:pt>
                <c:pt idx="126">
                  <c:v>0.12</c:v>
                </c:pt>
                <c:pt idx="127">
                  <c:v>0.14000000000000001</c:v>
                </c:pt>
                <c:pt idx="128">
                  <c:v>0.16</c:v>
                </c:pt>
                <c:pt idx="129">
                  <c:v>0.18</c:v>
                </c:pt>
                <c:pt idx="130">
                  <c:v>0.02</c:v>
                </c:pt>
                <c:pt idx="131">
                  <c:v>0.04</c:v>
                </c:pt>
                <c:pt idx="132">
                  <c:v>0.06</c:v>
                </c:pt>
                <c:pt idx="133">
                  <c:v>0.08</c:v>
                </c:pt>
                <c:pt idx="134">
                  <c:v>0.1</c:v>
                </c:pt>
                <c:pt idx="135">
                  <c:v>0.12</c:v>
                </c:pt>
                <c:pt idx="136">
                  <c:v>0.14000000000000001</c:v>
                </c:pt>
                <c:pt idx="137">
                  <c:v>0.16</c:v>
                </c:pt>
                <c:pt idx="138">
                  <c:v>0.18</c:v>
                </c:pt>
                <c:pt idx="139">
                  <c:v>0.02</c:v>
                </c:pt>
                <c:pt idx="140">
                  <c:v>0.04</c:v>
                </c:pt>
                <c:pt idx="141">
                  <c:v>0.06</c:v>
                </c:pt>
                <c:pt idx="142">
                  <c:v>0.08</c:v>
                </c:pt>
                <c:pt idx="143">
                  <c:v>0.1</c:v>
                </c:pt>
                <c:pt idx="144">
                  <c:v>0.12</c:v>
                </c:pt>
                <c:pt idx="145">
                  <c:v>0.14000000000000001</c:v>
                </c:pt>
                <c:pt idx="146">
                  <c:v>0.16</c:v>
                </c:pt>
                <c:pt idx="147">
                  <c:v>0.18</c:v>
                </c:pt>
                <c:pt idx="148">
                  <c:v>0.02</c:v>
                </c:pt>
                <c:pt idx="149">
                  <c:v>0.04</c:v>
                </c:pt>
                <c:pt idx="150">
                  <c:v>0.06</c:v>
                </c:pt>
                <c:pt idx="151">
                  <c:v>0.08</c:v>
                </c:pt>
                <c:pt idx="152">
                  <c:v>0.1</c:v>
                </c:pt>
                <c:pt idx="153">
                  <c:v>0.12</c:v>
                </c:pt>
                <c:pt idx="154">
                  <c:v>0.14000000000000001</c:v>
                </c:pt>
                <c:pt idx="155">
                  <c:v>0.16</c:v>
                </c:pt>
                <c:pt idx="156">
                  <c:v>0.18</c:v>
                </c:pt>
                <c:pt idx="157">
                  <c:v>0.02</c:v>
                </c:pt>
                <c:pt idx="158">
                  <c:v>0.04</c:v>
                </c:pt>
                <c:pt idx="159">
                  <c:v>0.06</c:v>
                </c:pt>
                <c:pt idx="160">
                  <c:v>0.08</c:v>
                </c:pt>
                <c:pt idx="161">
                  <c:v>0.1</c:v>
                </c:pt>
                <c:pt idx="162">
                  <c:v>0.12</c:v>
                </c:pt>
                <c:pt idx="163">
                  <c:v>0.14000000000000001</c:v>
                </c:pt>
                <c:pt idx="164">
                  <c:v>0.16</c:v>
                </c:pt>
                <c:pt idx="165">
                  <c:v>0.18</c:v>
                </c:pt>
                <c:pt idx="166">
                  <c:v>0.02</c:v>
                </c:pt>
                <c:pt idx="167">
                  <c:v>0.04</c:v>
                </c:pt>
                <c:pt idx="168">
                  <c:v>0.06</c:v>
                </c:pt>
                <c:pt idx="169">
                  <c:v>0.08</c:v>
                </c:pt>
                <c:pt idx="170">
                  <c:v>0.1</c:v>
                </c:pt>
                <c:pt idx="171">
                  <c:v>0.12</c:v>
                </c:pt>
                <c:pt idx="172">
                  <c:v>0.14000000000000001</c:v>
                </c:pt>
                <c:pt idx="173">
                  <c:v>0.16</c:v>
                </c:pt>
                <c:pt idx="174">
                  <c:v>0.18</c:v>
                </c:pt>
                <c:pt idx="175">
                  <c:v>0.02</c:v>
                </c:pt>
                <c:pt idx="176">
                  <c:v>0.04</c:v>
                </c:pt>
                <c:pt idx="177">
                  <c:v>0.06</c:v>
                </c:pt>
                <c:pt idx="178">
                  <c:v>0.08</c:v>
                </c:pt>
                <c:pt idx="179">
                  <c:v>0.1</c:v>
                </c:pt>
                <c:pt idx="180">
                  <c:v>0.12</c:v>
                </c:pt>
                <c:pt idx="181">
                  <c:v>0.14000000000000001</c:v>
                </c:pt>
                <c:pt idx="182">
                  <c:v>0.16</c:v>
                </c:pt>
                <c:pt idx="183">
                  <c:v>0.18</c:v>
                </c:pt>
                <c:pt idx="184">
                  <c:v>0.02</c:v>
                </c:pt>
                <c:pt idx="185">
                  <c:v>0.04</c:v>
                </c:pt>
                <c:pt idx="186">
                  <c:v>0.06</c:v>
                </c:pt>
                <c:pt idx="187">
                  <c:v>0.08</c:v>
                </c:pt>
                <c:pt idx="188">
                  <c:v>0.1</c:v>
                </c:pt>
                <c:pt idx="189">
                  <c:v>0.12</c:v>
                </c:pt>
                <c:pt idx="190">
                  <c:v>0.14000000000000001</c:v>
                </c:pt>
                <c:pt idx="191">
                  <c:v>0.16</c:v>
                </c:pt>
                <c:pt idx="192">
                  <c:v>0.18</c:v>
                </c:pt>
                <c:pt idx="193">
                  <c:v>0.02</c:v>
                </c:pt>
                <c:pt idx="194">
                  <c:v>0.04</c:v>
                </c:pt>
                <c:pt idx="195">
                  <c:v>0.06</c:v>
                </c:pt>
                <c:pt idx="196">
                  <c:v>0.08</c:v>
                </c:pt>
                <c:pt idx="197">
                  <c:v>0.1</c:v>
                </c:pt>
                <c:pt idx="198">
                  <c:v>0.12</c:v>
                </c:pt>
                <c:pt idx="199">
                  <c:v>0.14000000000000001</c:v>
                </c:pt>
                <c:pt idx="200">
                  <c:v>0.16</c:v>
                </c:pt>
                <c:pt idx="201">
                  <c:v>0.18</c:v>
                </c:pt>
                <c:pt idx="202">
                  <c:v>0.02</c:v>
                </c:pt>
                <c:pt idx="203">
                  <c:v>0.04</c:v>
                </c:pt>
                <c:pt idx="204">
                  <c:v>0.06</c:v>
                </c:pt>
                <c:pt idx="205">
                  <c:v>0.08</c:v>
                </c:pt>
                <c:pt idx="206">
                  <c:v>0.1</c:v>
                </c:pt>
                <c:pt idx="207">
                  <c:v>0.12</c:v>
                </c:pt>
                <c:pt idx="208">
                  <c:v>0.14000000000000001</c:v>
                </c:pt>
                <c:pt idx="209">
                  <c:v>0.16</c:v>
                </c:pt>
                <c:pt idx="210">
                  <c:v>0.18</c:v>
                </c:pt>
                <c:pt idx="211">
                  <c:v>0.02</c:v>
                </c:pt>
                <c:pt idx="212">
                  <c:v>0.04</c:v>
                </c:pt>
                <c:pt idx="213">
                  <c:v>0.06</c:v>
                </c:pt>
                <c:pt idx="214">
                  <c:v>0.08</c:v>
                </c:pt>
                <c:pt idx="215">
                  <c:v>0.1</c:v>
                </c:pt>
                <c:pt idx="216">
                  <c:v>0.12</c:v>
                </c:pt>
                <c:pt idx="217">
                  <c:v>0.14000000000000001</c:v>
                </c:pt>
                <c:pt idx="218">
                  <c:v>0.16</c:v>
                </c:pt>
                <c:pt idx="219">
                  <c:v>0.18</c:v>
                </c:pt>
                <c:pt idx="220">
                  <c:v>0.02</c:v>
                </c:pt>
                <c:pt idx="221">
                  <c:v>0.04</c:v>
                </c:pt>
                <c:pt idx="222">
                  <c:v>0.06</c:v>
                </c:pt>
                <c:pt idx="223">
                  <c:v>0.08</c:v>
                </c:pt>
                <c:pt idx="224">
                  <c:v>0.1</c:v>
                </c:pt>
                <c:pt idx="225">
                  <c:v>0.12</c:v>
                </c:pt>
                <c:pt idx="226">
                  <c:v>0.14000000000000001</c:v>
                </c:pt>
                <c:pt idx="227">
                  <c:v>0.16</c:v>
                </c:pt>
                <c:pt idx="228">
                  <c:v>0.18</c:v>
                </c:pt>
                <c:pt idx="229">
                  <c:v>0.02</c:v>
                </c:pt>
                <c:pt idx="230">
                  <c:v>0.04</c:v>
                </c:pt>
                <c:pt idx="231">
                  <c:v>0.06</c:v>
                </c:pt>
                <c:pt idx="232">
                  <c:v>0.08</c:v>
                </c:pt>
                <c:pt idx="233">
                  <c:v>0.1</c:v>
                </c:pt>
                <c:pt idx="234">
                  <c:v>0.12</c:v>
                </c:pt>
                <c:pt idx="235">
                  <c:v>0.14000000000000001</c:v>
                </c:pt>
                <c:pt idx="236">
                  <c:v>0.16</c:v>
                </c:pt>
                <c:pt idx="237">
                  <c:v>0.18</c:v>
                </c:pt>
                <c:pt idx="238">
                  <c:v>0.02</c:v>
                </c:pt>
                <c:pt idx="239">
                  <c:v>0.04</c:v>
                </c:pt>
                <c:pt idx="240">
                  <c:v>0.06</c:v>
                </c:pt>
                <c:pt idx="241">
                  <c:v>0.08</c:v>
                </c:pt>
                <c:pt idx="242">
                  <c:v>0.1</c:v>
                </c:pt>
                <c:pt idx="243">
                  <c:v>0.12</c:v>
                </c:pt>
                <c:pt idx="244">
                  <c:v>0.14000000000000001</c:v>
                </c:pt>
                <c:pt idx="245">
                  <c:v>0.16</c:v>
                </c:pt>
                <c:pt idx="246">
                  <c:v>0.18</c:v>
                </c:pt>
                <c:pt idx="247">
                  <c:v>0.02</c:v>
                </c:pt>
                <c:pt idx="248">
                  <c:v>0.04</c:v>
                </c:pt>
                <c:pt idx="249">
                  <c:v>0.06</c:v>
                </c:pt>
                <c:pt idx="250">
                  <c:v>0.08</c:v>
                </c:pt>
                <c:pt idx="251">
                  <c:v>0.1</c:v>
                </c:pt>
                <c:pt idx="252">
                  <c:v>0.12</c:v>
                </c:pt>
                <c:pt idx="253">
                  <c:v>0.14000000000000001</c:v>
                </c:pt>
                <c:pt idx="254">
                  <c:v>0.16</c:v>
                </c:pt>
                <c:pt idx="255">
                  <c:v>0.18</c:v>
                </c:pt>
                <c:pt idx="256">
                  <c:v>0.02</c:v>
                </c:pt>
                <c:pt idx="257">
                  <c:v>0.04</c:v>
                </c:pt>
                <c:pt idx="258">
                  <c:v>0.06</c:v>
                </c:pt>
                <c:pt idx="259">
                  <c:v>0.08</c:v>
                </c:pt>
                <c:pt idx="260">
                  <c:v>0.1</c:v>
                </c:pt>
                <c:pt idx="261">
                  <c:v>0.12</c:v>
                </c:pt>
                <c:pt idx="262">
                  <c:v>0.14000000000000001</c:v>
                </c:pt>
                <c:pt idx="263">
                  <c:v>0.16</c:v>
                </c:pt>
                <c:pt idx="264">
                  <c:v>0.18</c:v>
                </c:pt>
                <c:pt idx="265">
                  <c:v>0.02</c:v>
                </c:pt>
                <c:pt idx="266">
                  <c:v>0.04</c:v>
                </c:pt>
                <c:pt idx="267">
                  <c:v>0.06</c:v>
                </c:pt>
                <c:pt idx="268">
                  <c:v>0.08</c:v>
                </c:pt>
                <c:pt idx="269">
                  <c:v>0.1</c:v>
                </c:pt>
                <c:pt idx="270">
                  <c:v>0.12</c:v>
                </c:pt>
                <c:pt idx="271">
                  <c:v>0.14000000000000001</c:v>
                </c:pt>
                <c:pt idx="272">
                  <c:v>0.16</c:v>
                </c:pt>
                <c:pt idx="273">
                  <c:v>0.18</c:v>
                </c:pt>
                <c:pt idx="274">
                  <c:v>0.02</c:v>
                </c:pt>
                <c:pt idx="275">
                  <c:v>0.04</c:v>
                </c:pt>
                <c:pt idx="276">
                  <c:v>0.06</c:v>
                </c:pt>
                <c:pt idx="277">
                  <c:v>0.08</c:v>
                </c:pt>
                <c:pt idx="278">
                  <c:v>0.1</c:v>
                </c:pt>
                <c:pt idx="279">
                  <c:v>0.12</c:v>
                </c:pt>
                <c:pt idx="280">
                  <c:v>0.14000000000000001</c:v>
                </c:pt>
                <c:pt idx="281">
                  <c:v>0.16</c:v>
                </c:pt>
                <c:pt idx="282">
                  <c:v>0.18</c:v>
                </c:pt>
                <c:pt idx="283">
                  <c:v>0.02</c:v>
                </c:pt>
                <c:pt idx="284">
                  <c:v>0.04</c:v>
                </c:pt>
                <c:pt idx="285">
                  <c:v>0.06</c:v>
                </c:pt>
                <c:pt idx="286">
                  <c:v>0.08</c:v>
                </c:pt>
                <c:pt idx="287">
                  <c:v>0.1</c:v>
                </c:pt>
                <c:pt idx="288">
                  <c:v>0.12</c:v>
                </c:pt>
                <c:pt idx="289">
                  <c:v>0.14000000000000001</c:v>
                </c:pt>
                <c:pt idx="290">
                  <c:v>0.16</c:v>
                </c:pt>
                <c:pt idx="291">
                  <c:v>0.18</c:v>
                </c:pt>
                <c:pt idx="292">
                  <c:v>0.02</c:v>
                </c:pt>
                <c:pt idx="293">
                  <c:v>0.04</c:v>
                </c:pt>
                <c:pt idx="294">
                  <c:v>0.06</c:v>
                </c:pt>
                <c:pt idx="295">
                  <c:v>0.08</c:v>
                </c:pt>
                <c:pt idx="296">
                  <c:v>0.1</c:v>
                </c:pt>
                <c:pt idx="297">
                  <c:v>0.12</c:v>
                </c:pt>
                <c:pt idx="298">
                  <c:v>0.14000000000000001</c:v>
                </c:pt>
                <c:pt idx="299">
                  <c:v>0.16</c:v>
                </c:pt>
                <c:pt idx="300">
                  <c:v>0.18</c:v>
                </c:pt>
                <c:pt idx="301">
                  <c:v>0.02</c:v>
                </c:pt>
                <c:pt idx="302">
                  <c:v>0.04</c:v>
                </c:pt>
                <c:pt idx="303">
                  <c:v>0.06</c:v>
                </c:pt>
                <c:pt idx="304">
                  <c:v>0.08</c:v>
                </c:pt>
                <c:pt idx="305">
                  <c:v>0.1</c:v>
                </c:pt>
                <c:pt idx="306">
                  <c:v>0.12</c:v>
                </c:pt>
                <c:pt idx="307">
                  <c:v>0.14000000000000001</c:v>
                </c:pt>
                <c:pt idx="308">
                  <c:v>0.16</c:v>
                </c:pt>
                <c:pt idx="309">
                  <c:v>0.18</c:v>
                </c:pt>
              </c:numCache>
            </c:numRef>
          </c:xVal>
          <c:yVal>
            <c:numRef>
              <c:f>'Capacity Credit'!$C$73:$C$382</c:f>
              <c:numCache>
                <c:formatCode>0%</c:formatCode>
                <c:ptCount val="310"/>
                <c:pt idx="0">
                  <c:v>0.28999999999999998</c:v>
                </c:pt>
                <c:pt idx="1">
                  <c:v>0.27</c:v>
                </c:pt>
                <c:pt idx="2">
                  <c:v>0.27</c:v>
                </c:pt>
                <c:pt idx="3">
                  <c:v>0.65200000000000002</c:v>
                </c:pt>
                <c:pt idx="4">
                  <c:v>0.64700000000000002</c:v>
                </c:pt>
                <c:pt idx="5">
                  <c:v>0.623</c:v>
                </c:pt>
                <c:pt idx="6">
                  <c:v>0.58199999999999996</c:v>
                </c:pt>
                <c:pt idx="7">
                  <c:v>0.52400000000000002</c:v>
                </c:pt>
                <c:pt idx="8">
                  <c:v>0.47099999999999997</c:v>
                </c:pt>
                <c:pt idx="9">
                  <c:v>0.77100000000000002</c:v>
                </c:pt>
                <c:pt idx="10">
                  <c:v>0.71899999999999997</c:v>
                </c:pt>
                <c:pt idx="11">
                  <c:v>0.64900000000000002</c:v>
                </c:pt>
                <c:pt idx="12">
                  <c:v>0.629</c:v>
                </c:pt>
                <c:pt idx="13">
                  <c:v>0.60099999999999998</c:v>
                </c:pt>
                <c:pt idx="14">
                  <c:v>0.5</c:v>
                </c:pt>
                <c:pt idx="15">
                  <c:v>0.68899999999999995</c:v>
                </c:pt>
                <c:pt idx="16">
                  <c:v>0.72499999999999998</c:v>
                </c:pt>
                <c:pt idx="17">
                  <c:v>0.71599999999999997</c:v>
                </c:pt>
                <c:pt idx="18">
                  <c:v>0.61599999999999999</c:v>
                </c:pt>
                <c:pt idx="19">
                  <c:v>0.54300000000000004</c:v>
                </c:pt>
                <c:pt idx="20">
                  <c:v>0.48599999999999999</c:v>
                </c:pt>
                <c:pt idx="21">
                  <c:v>0.71799999999999997</c:v>
                </c:pt>
                <c:pt idx="22">
                  <c:v>0.64900000000000002</c:v>
                </c:pt>
                <c:pt idx="23">
                  <c:v>0.56799999999999995</c:v>
                </c:pt>
                <c:pt idx="24">
                  <c:v>0.48299999999999998</c:v>
                </c:pt>
                <c:pt idx="25">
                  <c:v>0.45300000000000001</c:v>
                </c:pt>
                <c:pt idx="26">
                  <c:v>0.68899999999999995</c:v>
                </c:pt>
                <c:pt idx="27">
                  <c:v>0.68799999999999994</c:v>
                </c:pt>
                <c:pt idx="28">
                  <c:v>0.66800000000000004</c:v>
                </c:pt>
                <c:pt idx="29">
                  <c:v>0.437</c:v>
                </c:pt>
                <c:pt idx="30">
                  <c:v>0.35299999999999998</c:v>
                </c:pt>
                <c:pt idx="31">
                  <c:v>0.309</c:v>
                </c:pt>
                <c:pt idx="32">
                  <c:v>0.73</c:v>
                </c:pt>
                <c:pt idx="33">
                  <c:v>0.72099999999999997</c:v>
                </c:pt>
                <c:pt idx="34">
                  <c:v>0.69699999999999995</c:v>
                </c:pt>
                <c:pt idx="35">
                  <c:v>0.65</c:v>
                </c:pt>
                <c:pt idx="36">
                  <c:v>0.58699999999999997</c:v>
                </c:pt>
                <c:pt idx="37">
                  <c:v>0.51700000000000002</c:v>
                </c:pt>
                <c:pt idx="38">
                  <c:v>0.91400000000000003</c:v>
                </c:pt>
                <c:pt idx="39">
                  <c:v>0.86</c:v>
                </c:pt>
                <c:pt idx="40">
                  <c:v>0.79900000000000004</c:v>
                </c:pt>
                <c:pt idx="41">
                  <c:v>0.70899999999999996</c:v>
                </c:pt>
                <c:pt idx="42">
                  <c:v>0.68100000000000005</c:v>
                </c:pt>
                <c:pt idx="43">
                  <c:v>0.53600000000000003</c:v>
                </c:pt>
                <c:pt idx="44">
                  <c:v>0.79300000000000004</c:v>
                </c:pt>
                <c:pt idx="45">
                  <c:v>0.78700000000000003</c:v>
                </c:pt>
                <c:pt idx="46">
                  <c:v>0.78400000000000003</c:v>
                </c:pt>
                <c:pt idx="47">
                  <c:v>0.71099999999999997</c:v>
                </c:pt>
                <c:pt idx="48">
                  <c:v>0.64400000000000002</c:v>
                </c:pt>
                <c:pt idx="49">
                  <c:v>0.626</c:v>
                </c:pt>
                <c:pt idx="50">
                  <c:v>0.91</c:v>
                </c:pt>
                <c:pt idx="51">
                  <c:v>0.86099999999999999</c:v>
                </c:pt>
                <c:pt idx="52">
                  <c:v>0.78400000000000003</c:v>
                </c:pt>
                <c:pt idx="53">
                  <c:v>0.63200000000000001</c:v>
                </c:pt>
                <c:pt idx="54">
                  <c:v>0.58499999999999996</c:v>
                </c:pt>
                <c:pt idx="55">
                  <c:v>0.53600000000000003</c:v>
                </c:pt>
                <c:pt idx="56">
                  <c:v>0.753</c:v>
                </c:pt>
                <c:pt idx="57">
                  <c:v>0.754</c:v>
                </c:pt>
                <c:pt idx="58">
                  <c:v>0.753</c:v>
                </c:pt>
                <c:pt idx="59">
                  <c:v>0.754</c:v>
                </c:pt>
                <c:pt idx="60">
                  <c:v>0.54100000000000004</c:v>
                </c:pt>
                <c:pt idx="61">
                  <c:v>0.43099999999999999</c:v>
                </c:pt>
                <c:pt idx="62">
                  <c:v>0.313</c:v>
                </c:pt>
                <c:pt idx="63">
                  <c:v>0.29299999999999998</c:v>
                </c:pt>
                <c:pt idx="64">
                  <c:v>0.23799999999999999</c:v>
                </c:pt>
                <c:pt idx="65">
                  <c:v>0.17100000000000001</c:v>
                </c:pt>
                <c:pt idx="66">
                  <c:v>0.128</c:v>
                </c:pt>
                <c:pt idx="67">
                  <c:v>0.105</c:v>
                </c:pt>
                <c:pt idx="68">
                  <c:v>0.76</c:v>
                </c:pt>
                <c:pt idx="69">
                  <c:v>0.58399999999999996</c:v>
                </c:pt>
                <c:pt idx="70">
                  <c:v>0.35499999999999998</c:v>
                </c:pt>
                <c:pt idx="71">
                  <c:v>0.17499999999999999</c:v>
                </c:pt>
                <c:pt idx="72">
                  <c:v>8.8999999999999996E-2</c:v>
                </c:pt>
                <c:pt idx="73">
                  <c:v>9.0999999999999998E-2</c:v>
                </c:pt>
                <c:pt idx="74">
                  <c:v>0.76700000000000002</c:v>
                </c:pt>
                <c:pt idx="75">
                  <c:v>0.59899999999999998</c:v>
                </c:pt>
                <c:pt idx="76">
                  <c:v>0.495</c:v>
                </c:pt>
                <c:pt idx="77">
                  <c:v>0.26700000000000002</c:v>
                </c:pt>
                <c:pt idx="78">
                  <c:v>0.185</c:v>
                </c:pt>
                <c:pt idx="79">
                  <c:v>0.18</c:v>
                </c:pt>
                <c:pt idx="80">
                  <c:v>0.755</c:v>
                </c:pt>
                <c:pt idx="81">
                  <c:v>0.60399999999999998</c:v>
                </c:pt>
                <c:pt idx="82">
                  <c:v>0.33200000000000002</c:v>
                </c:pt>
                <c:pt idx="83">
                  <c:v>0.20599999999999999</c:v>
                </c:pt>
                <c:pt idx="84">
                  <c:v>0.10100000000000001</c:v>
                </c:pt>
                <c:pt idx="85">
                  <c:v>6.0999999999999999E-2</c:v>
                </c:pt>
                <c:pt idx="86">
                  <c:v>0.78100000000000003</c:v>
                </c:pt>
                <c:pt idx="87">
                  <c:v>0.64900000000000002</c:v>
                </c:pt>
                <c:pt idx="88">
                  <c:v>0.26400000000000001</c:v>
                </c:pt>
                <c:pt idx="89">
                  <c:v>0.13200000000000001</c:v>
                </c:pt>
                <c:pt idx="90">
                  <c:v>9.1999999999999998E-2</c:v>
                </c:pt>
                <c:pt idx="91">
                  <c:v>6.8000000000000005E-2</c:v>
                </c:pt>
                <c:pt idx="92">
                  <c:v>0.47</c:v>
                </c:pt>
                <c:pt idx="93">
                  <c:v>1</c:v>
                </c:pt>
                <c:pt idx="94">
                  <c:v>0.16300000000000001</c:v>
                </c:pt>
                <c:pt idx="95">
                  <c:v>0.12300000000000001</c:v>
                </c:pt>
                <c:pt idx="96">
                  <c:v>8.199999999999999E-2</c:v>
                </c:pt>
                <c:pt idx="97">
                  <c:v>6.2E-2</c:v>
                </c:pt>
                <c:pt idx="98">
                  <c:v>5.0999999999999997E-2</c:v>
                </c:pt>
                <c:pt idx="99">
                  <c:v>4.0999999999999995E-2</c:v>
                </c:pt>
                <c:pt idx="100">
                  <c:v>3.3000000000000002E-2</c:v>
                </c:pt>
                <c:pt idx="101">
                  <c:v>3.1E-2</c:v>
                </c:pt>
                <c:pt idx="102">
                  <c:v>2.5000000000000001E-2</c:v>
                </c:pt>
                <c:pt idx="103">
                  <c:v>0.17</c:v>
                </c:pt>
                <c:pt idx="104">
                  <c:v>0.127</c:v>
                </c:pt>
                <c:pt idx="105">
                  <c:v>8.3000000000000004E-2</c:v>
                </c:pt>
                <c:pt idx="106">
                  <c:v>6.2E-2</c:v>
                </c:pt>
                <c:pt idx="107">
                  <c:v>5.0999999999999997E-2</c:v>
                </c:pt>
                <c:pt idx="108">
                  <c:v>4.0999999999999995E-2</c:v>
                </c:pt>
                <c:pt idx="109">
                  <c:v>3.3000000000000002E-2</c:v>
                </c:pt>
                <c:pt idx="110">
                  <c:v>3.1E-2</c:v>
                </c:pt>
                <c:pt idx="111">
                  <c:v>2.5000000000000001E-2</c:v>
                </c:pt>
                <c:pt idx="112">
                  <c:v>7.2000000000000008E-2</c:v>
                </c:pt>
                <c:pt idx="113">
                  <c:v>7.2000000000000008E-2</c:v>
                </c:pt>
                <c:pt idx="114">
                  <c:v>4.8000000000000001E-2</c:v>
                </c:pt>
                <c:pt idx="115">
                  <c:v>3.5000000000000003E-2</c:v>
                </c:pt>
                <c:pt idx="116">
                  <c:v>2.7999999999999997E-2</c:v>
                </c:pt>
                <c:pt idx="117">
                  <c:v>2.4E-2</c:v>
                </c:pt>
                <c:pt idx="118">
                  <c:v>0.02</c:v>
                </c:pt>
                <c:pt idx="119">
                  <c:v>1.8000000000000002E-2</c:v>
                </c:pt>
                <c:pt idx="120">
                  <c:v>1.4999999999999999E-2</c:v>
                </c:pt>
                <c:pt idx="121">
                  <c:v>7.2000000000000008E-2</c:v>
                </c:pt>
                <c:pt idx="122">
                  <c:v>7.2000000000000008E-2</c:v>
                </c:pt>
                <c:pt idx="123">
                  <c:v>4.8000000000000001E-2</c:v>
                </c:pt>
                <c:pt idx="124">
                  <c:v>4.7E-2</c:v>
                </c:pt>
                <c:pt idx="125">
                  <c:v>4.8000000000000001E-2</c:v>
                </c:pt>
                <c:pt idx="126">
                  <c:v>4.8000000000000001E-2</c:v>
                </c:pt>
                <c:pt idx="127">
                  <c:v>4.2999999999999997E-2</c:v>
                </c:pt>
                <c:pt idx="128">
                  <c:v>3.7999999999999999E-2</c:v>
                </c:pt>
                <c:pt idx="129">
                  <c:v>3.2000000000000001E-2</c:v>
                </c:pt>
                <c:pt idx="130">
                  <c:v>5.5E-2</c:v>
                </c:pt>
                <c:pt idx="131">
                  <c:v>5.5E-2</c:v>
                </c:pt>
                <c:pt idx="132">
                  <c:v>5.4000000000000006E-2</c:v>
                </c:pt>
                <c:pt idx="133">
                  <c:v>0.04</c:v>
                </c:pt>
                <c:pt idx="134">
                  <c:v>3.2000000000000001E-2</c:v>
                </c:pt>
                <c:pt idx="135">
                  <c:v>2.6000000000000002E-2</c:v>
                </c:pt>
                <c:pt idx="136">
                  <c:v>0.02</c:v>
                </c:pt>
                <c:pt idx="137">
                  <c:v>1.6E-2</c:v>
                </c:pt>
                <c:pt idx="138">
                  <c:v>1.6E-2</c:v>
                </c:pt>
                <c:pt idx="139">
                  <c:v>5.7999999999999996E-2</c:v>
                </c:pt>
                <c:pt idx="140">
                  <c:v>5.7000000000000002E-2</c:v>
                </c:pt>
                <c:pt idx="141">
                  <c:v>5.5999999999999994E-2</c:v>
                </c:pt>
                <c:pt idx="142">
                  <c:v>4.2999999999999997E-2</c:v>
                </c:pt>
                <c:pt idx="143">
                  <c:v>4.2999999999999997E-2</c:v>
                </c:pt>
                <c:pt idx="144">
                  <c:v>4.0999999999999995E-2</c:v>
                </c:pt>
                <c:pt idx="145">
                  <c:v>4.0999999999999995E-2</c:v>
                </c:pt>
                <c:pt idx="146">
                  <c:v>4.0999999999999995E-2</c:v>
                </c:pt>
                <c:pt idx="147">
                  <c:v>3.5000000000000003E-2</c:v>
                </c:pt>
                <c:pt idx="148">
                  <c:v>1E-3</c:v>
                </c:pt>
                <c:pt idx="149">
                  <c:v>1E-3</c:v>
                </c:pt>
                <c:pt idx="150">
                  <c:v>1E-3</c:v>
                </c:pt>
                <c:pt idx="151">
                  <c:v>1E-3</c:v>
                </c:pt>
                <c:pt idx="152">
                  <c:v>1E-3</c:v>
                </c:pt>
                <c:pt idx="153">
                  <c:v>1E-3</c:v>
                </c:pt>
                <c:pt idx="154">
                  <c:v>1E-3</c:v>
                </c:pt>
                <c:pt idx="155">
                  <c:v>1E-3</c:v>
                </c:pt>
                <c:pt idx="156">
                  <c:v>1E-3</c:v>
                </c:pt>
                <c:pt idx="157">
                  <c:v>0.06</c:v>
                </c:pt>
                <c:pt idx="158">
                  <c:v>5.7999999999999996E-2</c:v>
                </c:pt>
                <c:pt idx="159">
                  <c:v>5.5999999999999994E-2</c:v>
                </c:pt>
                <c:pt idx="160">
                  <c:v>5.5999999999999994E-2</c:v>
                </c:pt>
                <c:pt idx="161">
                  <c:v>4.8000000000000001E-2</c:v>
                </c:pt>
                <c:pt idx="162">
                  <c:v>4.8000000000000001E-2</c:v>
                </c:pt>
                <c:pt idx="163">
                  <c:v>4.8000000000000001E-2</c:v>
                </c:pt>
                <c:pt idx="164">
                  <c:v>0.04</c:v>
                </c:pt>
                <c:pt idx="165">
                  <c:v>3.7999999999999999E-2</c:v>
                </c:pt>
                <c:pt idx="166">
                  <c:v>2.2000000000000002E-2</c:v>
                </c:pt>
                <c:pt idx="167">
                  <c:v>2.2000000000000002E-2</c:v>
                </c:pt>
                <c:pt idx="168">
                  <c:v>2.2000000000000002E-2</c:v>
                </c:pt>
                <c:pt idx="169">
                  <c:v>2.2000000000000002E-2</c:v>
                </c:pt>
                <c:pt idx="170">
                  <c:v>2.2000000000000002E-2</c:v>
                </c:pt>
                <c:pt idx="171">
                  <c:v>1.7000000000000001E-2</c:v>
                </c:pt>
                <c:pt idx="172">
                  <c:v>1.3999999999999999E-2</c:v>
                </c:pt>
                <c:pt idx="173">
                  <c:v>1.3999999999999999E-2</c:v>
                </c:pt>
                <c:pt idx="174">
                  <c:v>1.1000000000000001E-2</c:v>
                </c:pt>
                <c:pt idx="175">
                  <c:v>0.14599999999999999</c:v>
                </c:pt>
                <c:pt idx="176">
                  <c:v>0.14599999999999999</c:v>
                </c:pt>
                <c:pt idx="177">
                  <c:v>0.14599999999999999</c:v>
                </c:pt>
                <c:pt idx="178">
                  <c:v>0.111</c:v>
                </c:pt>
                <c:pt idx="179">
                  <c:v>0.111</c:v>
                </c:pt>
                <c:pt idx="180">
                  <c:v>0.111</c:v>
                </c:pt>
                <c:pt idx="181">
                  <c:v>0.111</c:v>
                </c:pt>
                <c:pt idx="182">
                  <c:v>0.111</c:v>
                </c:pt>
                <c:pt idx="183">
                  <c:v>0.111</c:v>
                </c:pt>
                <c:pt idx="184">
                  <c:v>1.9E-2</c:v>
                </c:pt>
                <c:pt idx="185">
                  <c:v>1.9E-2</c:v>
                </c:pt>
                <c:pt idx="186">
                  <c:v>1.1000000000000001E-2</c:v>
                </c:pt>
                <c:pt idx="187">
                  <c:v>8.0000000000000002E-3</c:v>
                </c:pt>
                <c:pt idx="188">
                  <c:v>5.0000000000000001E-3</c:v>
                </c:pt>
                <c:pt idx="189">
                  <c:v>4.0000000000000001E-3</c:v>
                </c:pt>
                <c:pt idx="190">
                  <c:v>3.0000000000000001E-3</c:v>
                </c:pt>
                <c:pt idx="191">
                  <c:v>2E-3</c:v>
                </c:pt>
                <c:pt idx="192">
                  <c:v>2E-3</c:v>
                </c:pt>
                <c:pt idx="193">
                  <c:v>3.9E-2</c:v>
                </c:pt>
                <c:pt idx="194">
                  <c:v>2.8999999999999998E-2</c:v>
                </c:pt>
                <c:pt idx="195">
                  <c:v>2.8999999999999998E-2</c:v>
                </c:pt>
                <c:pt idx="196">
                  <c:v>2.8999999999999998E-2</c:v>
                </c:pt>
                <c:pt idx="197">
                  <c:v>2.8999999999999998E-2</c:v>
                </c:pt>
                <c:pt idx="198">
                  <c:v>2.8999999999999998E-2</c:v>
                </c:pt>
                <c:pt idx="199">
                  <c:v>2.8999999999999998E-2</c:v>
                </c:pt>
                <c:pt idx="200">
                  <c:v>2.8999999999999998E-2</c:v>
                </c:pt>
                <c:pt idx="201">
                  <c:v>2.4E-2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4.0000000000000001E-3</c:v>
                </c:pt>
                <c:pt idx="207">
                  <c:v>4.0000000000000001E-3</c:v>
                </c:pt>
                <c:pt idx="208">
                  <c:v>4.0000000000000001E-3</c:v>
                </c:pt>
                <c:pt idx="209">
                  <c:v>4.0000000000000001E-3</c:v>
                </c:pt>
                <c:pt idx="210">
                  <c:v>4.0000000000000001E-3</c:v>
                </c:pt>
                <c:pt idx="211">
                  <c:v>4.2999999999999997E-2</c:v>
                </c:pt>
                <c:pt idx="212">
                  <c:v>0.04</c:v>
                </c:pt>
                <c:pt idx="213">
                  <c:v>0.04</c:v>
                </c:pt>
                <c:pt idx="214">
                  <c:v>0.04</c:v>
                </c:pt>
                <c:pt idx="215">
                  <c:v>4.2000000000000003E-2</c:v>
                </c:pt>
                <c:pt idx="216">
                  <c:v>4.2000000000000003E-2</c:v>
                </c:pt>
                <c:pt idx="217">
                  <c:v>4.2000000000000003E-2</c:v>
                </c:pt>
                <c:pt idx="218">
                  <c:v>4.2000000000000003E-2</c:v>
                </c:pt>
                <c:pt idx="219">
                  <c:v>4.2000000000000003E-2</c:v>
                </c:pt>
                <c:pt idx="220">
                  <c:v>5.4000000000000006E-2</c:v>
                </c:pt>
                <c:pt idx="221">
                  <c:v>2.7000000000000003E-2</c:v>
                </c:pt>
                <c:pt idx="222">
                  <c:v>2.2000000000000002E-2</c:v>
                </c:pt>
                <c:pt idx="223">
                  <c:v>2.2000000000000002E-2</c:v>
                </c:pt>
                <c:pt idx="224">
                  <c:v>2.2000000000000002E-2</c:v>
                </c:pt>
                <c:pt idx="225">
                  <c:v>1.8000000000000002E-2</c:v>
                </c:pt>
                <c:pt idx="226">
                  <c:v>1.4999999999999999E-2</c:v>
                </c:pt>
                <c:pt idx="227">
                  <c:v>1.4999999999999999E-2</c:v>
                </c:pt>
                <c:pt idx="228">
                  <c:v>1.3999999999999999E-2</c:v>
                </c:pt>
                <c:pt idx="229">
                  <c:v>5.4000000000000006E-2</c:v>
                </c:pt>
                <c:pt idx="230">
                  <c:v>5.4000000000000006E-2</c:v>
                </c:pt>
                <c:pt idx="231">
                  <c:v>5.2999999999999999E-2</c:v>
                </c:pt>
                <c:pt idx="232">
                  <c:v>5.2999999999999999E-2</c:v>
                </c:pt>
                <c:pt idx="233">
                  <c:v>5.2999999999999999E-2</c:v>
                </c:pt>
                <c:pt idx="234">
                  <c:v>5.2999999999999999E-2</c:v>
                </c:pt>
                <c:pt idx="235">
                  <c:v>5.2999999999999999E-2</c:v>
                </c:pt>
                <c:pt idx="236">
                  <c:v>5.2999999999999999E-2</c:v>
                </c:pt>
                <c:pt idx="237">
                  <c:v>0.05</c:v>
                </c:pt>
                <c:pt idx="238">
                  <c:v>0.96299999999999997</c:v>
                </c:pt>
                <c:pt idx="239">
                  <c:v>0.64200000000000002</c:v>
                </c:pt>
                <c:pt idx="240">
                  <c:v>0.53400000000000003</c:v>
                </c:pt>
                <c:pt idx="241">
                  <c:v>0.4</c:v>
                </c:pt>
                <c:pt idx="242">
                  <c:v>0.32100000000000001</c:v>
                </c:pt>
                <c:pt idx="243">
                  <c:v>0.26899999999999996</c:v>
                </c:pt>
                <c:pt idx="244">
                  <c:v>0.23</c:v>
                </c:pt>
                <c:pt idx="245">
                  <c:v>0.2</c:v>
                </c:pt>
                <c:pt idx="246">
                  <c:v>0.17800000000000002</c:v>
                </c:pt>
                <c:pt idx="247">
                  <c:v>0.96599999999999997</c:v>
                </c:pt>
                <c:pt idx="248">
                  <c:v>0.64500000000000002</c:v>
                </c:pt>
                <c:pt idx="249">
                  <c:v>0.53400000000000003</c:v>
                </c:pt>
                <c:pt idx="250">
                  <c:v>0.40200000000000002</c:v>
                </c:pt>
                <c:pt idx="251">
                  <c:v>0.32200000000000001</c:v>
                </c:pt>
                <c:pt idx="252">
                  <c:v>0.28899999999999998</c:v>
                </c:pt>
                <c:pt idx="253">
                  <c:v>0.28899999999999998</c:v>
                </c:pt>
                <c:pt idx="254">
                  <c:v>0.28899999999999998</c:v>
                </c:pt>
                <c:pt idx="255">
                  <c:v>0.28899999999999998</c:v>
                </c:pt>
                <c:pt idx="256">
                  <c:v>0.107</c:v>
                </c:pt>
                <c:pt idx="257">
                  <c:v>5.7000000000000002E-2</c:v>
                </c:pt>
                <c:pt idx="258">
                  <c:v>3.6000000000000004E-2</c:v>
                </c:pt>
                <c:pt idx="259">
                  <c:v>2.7000000000000003E-2</c:v>
                </c:pt>
                <c:pt idx="260">
                  <c:v>0.02</c:v>
                </c:pt>
                <c:pt idx="261">
                  <c:v>1.6E-2</c:v>
                </c:pt>
                <c:pt idx="262">
                  <c:v>1.3000000000000001E-2</c:v>
                </c:pt>
                <c:pt idx="263">
                  <c:v>9.0000000000000011E-3</c:v>
                </c:pt>
                <c:pt idx="264">
                  <c:v>8.0000000000000002E-3</c:v>
                </c:pt>
                <c:pt idx="265">
                  <c:v>0.21199999999999999</c:v>
                </c:pt>
                <c:pt idx="266">
                  <c:v>0.17699999999999999</c:v>
                </c:pt>
                <c:pt idx="267">
                  <c:v>0.17600000000000002</c:v>
                </c:pt>
                <c:pt idx="268">
                  <c:v>0.16</c:v>
                </c:pt>
                <c:pt idx="269">
                  <c:v>0.16</c:v>
                </c:pt>
                <c:pt idx="270">
                  <c:v>0.158</c:v>
                </c:pt>
                <c:pt idx="271">
                  <c:v>0.14400000000000002</c:v>
                </c:pt>
                <c:pt idx="272">
                  <c:v>0.14300000000000002</c:v>
                </c:pt>
                <c:pt idx="273">
                  <c:v>0.13600000000000001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0.14899999999999999</c:v>
                </c:pt>
                <c:pt idx="284">
                  <c:v>0.14899999999999999</c:v>
                </c:pt>
                <c:pt idx="285">
                  <c:v>0.14899999999999999</c:v>
                </c:pt>
                <c:pt idx="286">
                  <c:v>0.14899999999999999</c:v>
                </c:pt>
                <c:pt idx="287">
                  <c:v>0.14899999999999999</c:v>
                </c:pt>
                <c:pt idx="288">
                  <c:v>0.14899999999999999</c:v>
                </c:pt>
                <c:pt idx="289">
                  <c:v>0.14899999999999999</c:v>
                </c:pt>
                <c:pt idx="290">
                  <c:v>0.14899999999999999</c:v>
                </c:pt>
                <c:pt idx="291">
                  <c:v>0.14899999999999999</c:v>
                </c:pt>
                <c:pt idx="292">
                  <c:v>5.2999999999999999E-2</c:v>
                </c:pt>
                <c:pt idx="293">
                  <c:v>5.2999999999999999E-2</c:v>
                </c:pt>
                <c:pt idx="294">
                  <c:v>3.6000000000000004E-2</c:v>
                </c:pt>
                <c:pt idx="295">
                  <c:v>2.7999999999999997E-2</c:v>
                </c:pt>
                <c:pt idx="296">
                  <c:v>2.2000000000000002E-2</c:v>
                </c:pt>
                <c:pt idx="297">
                  <c:v>1.7000000000000001E-2</c:v>
                </c:pt>
                <c:pt idx="298">
                  <c:v>1.3999999999999999E-2</c:v>
                </c:pt>
                <c:pt idx="299">
                  <c:v>1.3999999999999999E-2</c:v>
                </c:pt>
                <c:pt idx="300">
                  <c:v>1.1000000000000001E-2</c:v>
                </c:pt>
                <c:pt idx="301">
                  <c:v>3.7000000000000005E-2</c:v>
                </c:pt>
                <c:pt idx="302">
                  <c:v>3.7000000000000005E-2</c:v>
                </c:pt>
                <c:pt idx="303">
                  <c:v>3.6000000000000004E-2</c:v>
                </c:pt>
                <c:pt idx="304">
                  <c:v>3.2000000000000001E-2</c:v>
                </c:pt>
                <c:pt idx="305">
                  <c:v>0.03</c:v>
                </c:pt>
                <c:pt idx="306">
                  <c:v>0.03</c:v>
                </c:pt>
                <c:pt idx="307">
                  <c:v>0.03</c:v>
                </c:pt>
                <c:pt idx="308">
                  <c:v>2.7999999999999997E-2</c:v>
                </c:pt>
                <c:pt idx="309">
                  <c:v>2.6000000000000002E-2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5B-3E44-8F38-321C61045D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506240"/>
        <c:axId val="144533376"/>
      </c:scatterChart>
      <c:valAx>
        <c:axId val="144506240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 i="0" baseline="0">
                    <a:effectLst/>
                  </a:rPr>
                  <a:t>VRE penetration (% of annual energy) </a:t>
                </a:r>
                <a:endParaRPr lang="en-GB" sz="14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33376"/>
        <c:crosses val="autoZero"/>
        <c:crossBetween val="midCat"/>
      </c:valAx>
      <c:valAx>
        <c:axId val="14453337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/>
                  <a:t>Capacity Credit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06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175647336598885"/>
          <c:y val="0.17551016782800627"/>
          <c:w val="0.10511969685809411"/>
          <c:h val="9.2514577809753473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Curtailment</a:t>
            </a:r>
            <a:r>
              <a:rPr lang="en-GB" b="1" baseline="0"/>
              <a:t>- all data</a:t>
            </a:r>
          </a:p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B" b="1"/>
          </a:p>
        </c:rich>
      </c:tx>
      <c:layout>
        <c:manualLayout>
          <c:xMode val="edge"/>
          <c:yMode val="edge"/>
          <c:x val="0.40209463227388864"/>
          <c:y val="2.4156345280333908E-2"/>
        </c:manualLayout>
      </c:layout>
      <c:overlay val="1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8590433927717797E-2"/>
          <c:y val="9.1291725376433208E-2"/>
          <c:w val="0.85119942535150594"/>
          <c:h val="0.79376681514227987"/>
        </c:manualLayout>
      </c:layout>
      <c:scatterChart>
        <c:scatterStyle val="lineMarker"/>
        <c:varyColors val="0"/>
        <c:ser>
          <c:idx val="0"/>
          <c:order val="0"/>
          <c:tx>
            <c:v>North America</c:v>
          </c:tx>
          <c:spPr>
            <a:ln w="28575" cap="rnd">
              <a:noFill/>
              <a:round/>
            </a:ln>
            <a:effectLst/>
          </c:spPr>
          <c:marker>
            <c:symbol val="triangle"/>
            <c:size val="6"/>
            <c:spPr>
              <a:noFill/>
              <a:ln w="19050">
                <a:solidFill>
                  <a:srgbClr val="00B0F0"/>
                </a:solidFill>
              </a:ln>
              <a:effectLst/>
            </c:spPr>
          </c:marker>
          <c:xVal>
            <c:numRef>
              <c:f>Curtailment!$C$4:$C$100</c:f>
              <c:numCache>
                <c:formatCode>0.0%</c:formatCode>
                <c:ptCount val="97"/>
                <c:pt idx="0">
                  <c:v>0.12</c:v>
                </c:pt>
                <c:pt idx="1">
                  <c:v>0.15</c:v>
                </c:pt>
                <c:pt idx="2">
                  <c:v>0.19500000000000001</c:v>
                </c:pt>
                <c:pt idx="3">
                  <c:v>0.23</c:v>
                </c:pt>
                <c:pt idx="4">
                  <c:v>0.255</c:v>
                </c:pt>
                <c:pt idx="5">
                  <c:v>0.26900000000000002</c:v>
                </c:pt>
                <c:pt idx="6">
                  <c:v>0.28100000000000003</c:v>
                </c:pt>
                <c:pt idx="7">
                  <c:v>0.23300000000000001</c:v>
                </c:pt>
                <c:pt idx="8">
                  <c:v>0.29299999999999998</c:v>
                </c:pt>
                <c:pt idx="9">
                  <c:v>0.35799999999999998</c:v>
                </c:pt>
                <c:pt idx="10">
                  <c:v>0.42799999999999999</c:v>
                </c:pt>
                <c:pt idx="11">
                  <c:v>0.47199999999999998</c:v>
                </c:pt>
                <c:pt idx="12">
                  <c:v>0.499</c:v>
                </c:pt>
                <c:pt idx="13">
                  <c:v>0.17100000000000001</c:v>
                </c:pt>
                <c:pt idx="14">
                  <c:v>0.25700000000000001</c:v>
                </c:pt>
                <c:pt idx="15">
                  <c:v>0.34599999999999997</c:v>
                </c:pt>
                <c:pt idx="16">
                  <c:v>0.45</c:v>
                </c:pt>
                <c:pt idx="17">
                  <c:v>0.58499999999999996</c:v>
                </c:pt>
                <c:pt idx="18">
                  <c:v>0.22</c:v>
                </c:pt>
                <c:pt idx="19">
                  <c:v>0.28999999999999998</c:v>
                </c:pt>
                <c:pt idx="20">
                  <c:v>0.39700000000000002</c:v>
                </c:pt>
                <c:pt idx="21">
                  <c:v>0.48899999999999999</c:v>
                </c:pt>
                <c:pt idx="22">
                  <c:v>0.56899999999999995</c:v>
                </c:pt>
                <c:pt idx="23">
                  <c:v>0.22</c:v>
                </c:pt>
                <c:pt idx="24">
                  <c:v>0.36</c:v>
                </c:pt>
                <c:pt idx="25">
                  <c:v>0.503</c:v>
                </c:pt>
                <c:pt idx="26">
                  <c:v>0.61499999999999999</c:v>
                </c:pt>
                <c:pt idx="27">
                  <c:v>0.71399999999999997</c:v>
                </c:pt>
                <c:pt idx="28">
                  <c:v>0.79800000000000004</c:v>
                </c:pt>
                <c:pt idx="29">
                  <c:v>0.38400000000000001</c:v>
                </c:pt>
                <c:pt idx="30">
                  <c:v>0.53200000000000003</c:v>
                </c:pt>
                <c:pt idx="31">
                  <c:v>0.629</c:v>
                </c:pt>
                <c:pt idx="32">
                  <c:v>0.73599999999999999</c:v>
                </c:pt>
                <c:pt idx="33">
                  <c:v>0.79800000000000004</c:v>
                </c:pt>
                <c:pt idx="34">
                  <c:v>0.42299999999999999</c:v>
                </c:pt>
                <c:pt idx="35">
                  <c:v>0.55700000000000005</c:v>
                </c:pt>
                <c:pt idx="36">
                  <c:v>0.70299999999999996</c:v>
                </c:pt>
                <c:pt idx="37">
                  <c:v>0.79800000000000004</c:v>
                </c:pt>
                <c:pt idx="38">
                  <c:v>0.51700000000000002</c:v>
                </c:pt>
                <c:pt idx="39">
                  <c:v>0.621</c:v>
                </c:pt>
                <c:pt idx="40">
                  <c:v>0.71899999999999997</c:v>
                </c:pt>
                <c:pt idx="41">
                  <c:v>0.79700000000000004</c:v>
                </c:pt>
                <c:pt idx="42">
                  <c:v>0.40699999999999997</c:v>
                </c:pt>
                <c:pt idx="43">
                  <c:v>0.60799999999999998</c:v>
                </c:pt>
                <c:pt idx="44">
                  <c:v>0.72399999999999998</c:v>
                </c:pt>
                <c:pt idx="45">
                  <c:v>0.79700000000000004</c:v>
                </c:pt>
                <c:pt idx="46">
                  <c:v>0.2</c:v>
                </c:pt>
                <c:pt idx="47">
                  <c:v>0.22800000000000001</c:v>
                </c:pt>
                <c:pt idx="48">
                  <c:v>0.245</c:v>
                </c:pt>
                <c:pt idx="49">
                  <c:v>0.252</c:v>
                </c:pt>
                <c:pt idx="50">
                  <c:v>0.26200000000000001</c:v>
                </c:pt>
                <c:pt idx="51">
                  <c:v>0.249</c:v>
                </c:pt>
                <c:pt idx="52">
                  <c:v>0.29699999999999999</c:v>
                </c:pt>
                <c:pt idx="53">
                  <c:v>0.32800000000000001</c:v>
                </c:pt>
                <c:pt idx="54">
                  <c:v>0.33800000000000002</c:v>
                </c:pt>
                <c:pt idx="55">
                  <c:v>0.34</c:v>
                </c:pt>
                <c:pt idx="56">
                  <c:v>0.25600000000000001</c:v>
                </c:pt>
                <c:pt idx="57">
                  <c:v>0.312</c:v>
                </c:pt>
                <c:pt idx="58">
                  <c:v>0.36799999999999999</c:v>
                </c:pt>
                <c:pt idx="59">
                  <c:v>0.39900000000000002</c:v>
                </c:pt>
                <c:pt idx="60">
                  <c:v>0.41299999999999998</c:v>
                </c:pt>
                <c:pt idx="61">
                  <c:v>0.23799999999999999</c:v>
                </c:pt>
                <c:pt idx="62">
                  <c:v>0.28599999999999998</c:v>
                </c:pt>
                <c:pt idx="63">
                  <c:v>0.33500000000000002</c:v>
                </c:pt>
                <c:pt idx="64">
                  <c:v>0.37</c:v>
                </c:pt>
                <c:pt idx="65">
                  <c:v>0.39</c:v>
                </c:pt>
                <c:pt idx="66">
                  <c:v>0.28399999999999997</c:v>
                </c:pt>
                <c:pt idx="67">
                  <c:v>0.33700000000000002</c:v>
                </c:pt>
                <c:pt idx="68">
                  <c:v>0.373</c:v>
                </c:pt>
                <c:pt idx="69">
                  <c:v>0.40100000000000002</c:v>
                </c:pt>
                <c:pt idx="70">
                  <c:v>0.41599999999999998</c:v>
                </c:pt>
                <c:pt idx="71">
                  <c:v>0.42299999999999999</c:v>
                </c:pt>
                <c:pt idx="72">
                  <c:v>0.29599999999999999</c:v>
                </c:pt>
                <c:pt idx="73">
                  <c:v>0.38800000000000001</c:v>
                </c:pt>
                <c:pt idx="74">
                  <c:v>0.41599999999999998</c:v>
                </c:pt>
                <c:pt idx="75">
                  <c:v>0.43099999999999999</c:v>
                </c:pt>
                <c:pt idx="76">
                  <c:v>0.438</c:v>
                </c:pt>
                <c:pt idx="77">
                  <c:v>0.19900000000000001</c:v>
                </c:pt>
                <c:pt idx="78">
                  <c:v>0.1</c:v>
                </c:pt>
                <c:pt idx="79">
                  <c:v>0.20899999999999999</c:v>
                </c:pt>
                <c:pt idx="80">
                  <c:v>0.20100000000000001</c:v>
                </c:pt>
                <c:pt idx="81">
                  <c:v>0.3</c:v>
                </c:pt>
                <c:pt idx="82">
                  <c:v>0.13</c:v>
                </c:pt>
                <c:pt idx="83">
                  <c:v>0.33</c:v>
                </c:pt>
                <c:pt idx="84" formatCode="0.00%">
                  <c:v>0.2</c:v>
                </c:pt>
                <c:pt idx="85" formatCode="0.00%">
                  <c:v>0.30599999999999999</c:v>
                </c:pt>
                <c:pt idx="86" formatCode="0.00%">
                  <c:v>0.40899999999999997</c:v>
                </c:pt>
                <c:pt idx="87" formatCode="0.00%">
                  <c:v>0.218</c:v>
                </c:pt>
                <c:pt idx="88" formatCode="0.00%">
                  <c:v>0.316</c:v>
                </c:pt>
                <c:pt idx="89" formatCode="0.00%">
                  <c:v>0.2</c:v>
                </c:pt>
                <c:pt idx="90" formatCode="0.00%">
                  <c:v>0.26500000000000001</c:v>
                </c:pt>
                <c:pt idx="91" formatCode="0.00%">
                  <c:v>0.20699999999999999</c:v>
                </c:pt>
                <c:pt idx="92" formatCode="0.00%">
                  <c:v>0.27800000000000002</c:v>
                </c:pt>
                <c:pt idx="93" formatCode="0.00%">
                  <c:v>0.2</c:v>
                </c:pt>
                <c:pt idx="94" formatCode="0.00%">
                  <c:v>0.32</c:v>
                </c:pt>
                <c:pt idx="95" formatCode="0%">
                  <c:v>0.8</c:v>
                </c:pt>
                <c:pt idx="96" formatCode="0%">
                  <c:v>0.05</c:v>
                </c:pt>
              </c:numCache>
            </c:numRef>
          </c:xVal>
          <c:yVal>
            <c:numRef>
              <c:f>Curtailment!$D$4:$D$100</c:f>
              <c:numCache>
                <c:formatCode>0.0%</c:formatCode>
                <c:ptCount val="97"/>
                <c:pt idx="0">
                  <c:v>3.0000000000000001E-3</c:v>
                </c:pt>
                <c:pt idx="1">
                  <c:v>0.01</c:v>
                </c:pt>
                <c:pt idx="2">
                  <c:v>3.7999999999999999E-2</c:v>
                </c:pt>
                <c:pt idx="3">
                  <c:v>0.1</c:v>
                </c:pt>
                <c:pt idx="4">
                  <c:v>0.193</c:v>
                </c:pt>
                <c:pt idx="5">
                  <c:v>0.28899999999999998</c:v>
                </c:pt>
                <c:pt idx="6">
                  <c:v>0.42899999999999999</c:v>
                </c:pt>
                <c:pt idx="7">
                  <c:v>3.0000000000000001E-3</c:v>
                </c:pt>
                <c:pt idx="8">
                  <c:v>1.6E-2</c:v>
                </c:pt>
                <c:pt idx="9">
                  <c:v>4.7E-2</c:v>
                </c:pt>
                <c:pt idx="10">
                  <c:v>0.112</c:v>
                </c:pt>
                <c:pt idx="11">
                  <c:v>0.20200000000000001</c:v>
                </c:pt>
                <c:pt idx="12">
                  <c:v>0.35699999999999998</c:v>
                </c:pt>
                <c:pt idx="13">
                  <c:v>4.0000000000000001E-3</c:v>
                </c:pt>
                <c:pt idx="14">
                  <c:v>2.4E-2</c:v>
                </c:pt>
                <c:pt idx="15">
                  <c:v>9.5000000000000001E-2</c:v>
                </c:pt>
                <c:pt idx="16">
                  <c:v>0.222</c:v>
                </c:pt>
                <c:pt idx="17">
                  <c:v>0.47099999999999997</c:v>
                </c:pt>
                <c:pt idx="18">
                  <c:v>4.0000000000000001E-3</c:v>
                </c:pt>
                <c:pt idx="19">
                  <c:v>2.4E-2</c:v>
                </c:pt>
                <c:pt idx="20">
                  <c:v>0.114</c:v>
                </c:pt>
                <c:pt idx="21">
                  <c:v>0.23499999999999999</c:v>
                </c:pt>
                <c:pt idx="22">
                  <c:v>0.39</c:v>
                </c:pt>
                <c:pt idx="23">
                  <c:v>2E-3</c:v>
                </c:pt>
                <c:pt idx="24">
                  <c:v>2.4E-2</c:v>
                </c:pt>
                <c:pt idx="25">
                  <c:v>7.5999999999999998E-2</c:v>
                </c:pt>
                <c:pt idx="26">
                  <c:v>0.14199999999999999</c:v>
                </c:pt>
                <c:pt idx="27">
                  <c:v>0.23</c:v>
                </c:pt>
                <c:pt idx="28">
                  <c:v>0.33200000000000002</c:v>
                </c:pt>
                <c:pt idx="29">
                  <c:v>8.0000000000000002E-3</c:v>
                </c:pt>
                <c:pt idx="30">
                  <c:v>3.7999999999999999E-2</c:v>
                </c:pt>
                <c:pt idx="31">
                  <c:v>7.3999999999999996E-2</c:v>
                </c:pt>
                <c:pt idx="32">
                  <c:v>0.13600000000000001</c:v>
                </c:pt>
                <c:pt idx="33">
                  <c:v>0.186</c:v>
                </c:pt>
                <c:pt idx="34">
                  <c:v>8.9999999999999993E-3</c:v>
                </c:pt>
                <c:pt idx="35">
                  <c:v>2.7E-2</c:v>
                </c:pt>
                <c:pt idx="36">
                  <c:v>8.1000000000000003E-2</c:v>
                </c:pt>
                <c:pt idx="37">
                  <c:v>0.13100000000000001</c:v>
                </c:pt>
                <c:pt idx="38">
                  <c:v>1.6E-2</c:v>
                </c:pt>
                <c:pt idx="39">
                  <c:v>3.5999999999999997E-2</c:v>
                </c:pt>
                <c:pt idx="40">
                  <c:v>7.4999999999999997E-2</c:v>
                </c:pt>
                <c:pt idx="41">
                  <c:v>0.115</c:v>
                </c:pt>
                <c:pt idx="42">
                  <c:v>5.0000000000000001E-3</c:v>
                </c:pt>
                <c:pt idx="43">
                  <c:v>2.5999999999999999E-2</c:v>
                </c:pt>
                <c:pt idx="44">
                  <c:v>5.7000000000000002E-2</c:v>
                </c:pt>
                <c:pt idx="45">
                  <c:v>9.4E-2</c:v>
                </c:pt>
                <c:pt idx="46" formatCode="0.00%">
                  <c:v>1.8939999999999999E-2</c:v>
                </c:pt>
                <c:pt idx="47" formatCode="0.00%">
                  <c:v>6.275E-2</c:v>
                </c:pt>
                <c:pt idx="48" formatCode="0.00%">
                  <c:v>0.25840999999999997</c:v>
                </c:pt>
                <c:pt idx="49" formatCode="0.00%">
                  <c:v>0.52720999999999996</c:v>
                </c:pt>
                <c:pt idx="50" formatCode="0.00%">
                  <c:v>1.00492</c:v>
                </c:pt>
                <c:pt idx="51" formatCode="0.00%">
                  <c:v>1.554E-2</c:v>
                </c:pt>
                <c:pt idx="52" formatCode="0.00%">
                  <c:v>6.0999999999999999E-2</c:v>
                </c:pt>
                <c:pt idx="53" formatCode="0.00%">
                  <c:v>0.32790000000000002</c:v>
                </c:pt>
                <c:pt idx="54" formatCode="0.00%">
                  <c:v>0.76797000000000004</c:v>
                </c:pt>
                <c:pt idx="55" formatCode="0.00%">
                  <c:v>1.00274</c:v>
                </c:pt>
                <c:pt idx="56" formatCode="0.00%">
                  <c:v>2.2200000000000001E-2</c:v>
                </c:pt>
                <c:pt idx="57" formatCode="0.00%">
                  <c:v>0.10681</c:v>
                </c:pt>
                <c:pt idx="58" formatCode="0.00%">
                  <c:v>0.32747999999999999</c:v>
                </c:pt>
                <c:pt idx="59" formatCode="0.00%">
                  <c:v>0.66163000000000005</c:v>
                </c:pt>
                <c:pt idx="60" formatCode="0.00%">
                  <c:v>0.99983</c:v>
                </c:pt>
                <c:pt idx="61" formatCode="0.00%">
                  <c:v>2.1610000000000001E-2</c:v>
                </c:pt>
                <c:pt idx="62" formatCode="0.00%">
                  <c:v>8.6550000000000002E-2</c:v>
                </c:pt>
                <c:pt idx="63" formatCode="0.00%">
                  <c:v>0.2621</c:v>
                </c:pt>
                <c:pt idx="64" formatCode="0.00%">
                  <c:v>0.58089999999999997</c:v>
                </c:pt>
                <c:pt idx="65" formatCode="0.00%">
                  <c:v>0.99875000000000003</c:v>
                </c:pt>
                <c:pt idx="66" formatCode="0.00%">
                  <c:v>2.342E-2</c:v>
                </c:pt>
                <c:pt idx="67" formatCode="0.00%">
                  <c:v>7.1849999999999997E-2</c:v>
                </c:pt>
                <c:pt idx="68" formatCode="0.00%">
                  <c:v>0.18043999999999999</c:v>
                </c:pt>
                <c:pt idx="69" formatCode="0.00%">
                  <c:v>0.41506999999999999</c:v>
                </c:pt>
                <c:pt idx="70" formatCode="0.00%">
                  <c:v>0.72482999999999997</c:v>
                </c:pt>
                <c:pt idx="71" formatCode="0.00%">
                  <c:v>0.99629000000000001</c:v>
                </c:pt>
                <c:pt idx="72" formatCode="0.00%">
                  <c:v>1.0330000000000001E-2</c:v>
                </c:pt>
                <c:pt idx="73" formatCode="0.00%">
                  <c:v>0.11848</c:v>
                </c:pt>
                <c:pt idx="74" formatCode="0.00%">
                  <c:v>0.24537999999999999</c:v>
                </c:pt>
                <c:pt idx="75" formatCode="0.00%">
                  <c:v>0.50236999999999998</c:v>
                </c:pt>
                <c:pt idx="76" formatCode="0.00%">
                  <c:v>0.99824000000000002</c:v>
                </c:pt>
                <c:pt idx="77">
                  <c:v>2.5129999999999998E-4</c:v>
                </c:pt>
                <c:pt idx="78">
                  <c:v>0.01</c:v>
                </c:pt>
                <c:pt idx="79">
                  <c:v>0.01</c:v>
                </c:pt>
                <c:pt idx="80">
                  <c:v>1.886E-4</c:v>
                </c:pt>
                <c:pt idx="81">
                  <c:v>5.0000000000000001E-3</c:v>
                </c:pt>
                <c:pt idx="82">
                  <c:v>3.0000000000000001E-3</c:v>
                </c:pt>
                <c:pt idx="83">
                  <c:v>1.6E-2</c:v>
                </c:pt>
                <c:pt idx="84" formatCode="0.00%">
                  <c:v>0</c:v>
                </c:pt>
                <c:pt idx="85" formatCode="0.00%">
                  <c:v>5.0000000000000001E-3</c:v>
                </c:pt>
                <c:pt idx="86" formatCode="0.00%">
                  <c:v>0.03</c:v>
                </c:pt>
                <c:pt idx="87" formatCode="0.00%">
                  <c:v>0</c:v>
                </c:pt>
                <c:pt idx="88" formatCode="0.00%">
                  <c:v>2.8000000000000001E-2</c:v>
                </c:pt>
                <c:pt idx="89" formatCode="0.00%">
                  <c:v>6.0000000000000001E-3</c:v>
                </c:pt>
                <c:pt idx="90" formatCode="0.00%">
                  <c:v>6.7000000000000004E-2</c:v>
                </c:pt>
                <c:pt idx="91" formatCode="0.00%">
                  <c:v>0</c:v>
                </c:pt>
                <c:pt idx="92" formatCode="0.00%">
                  <c:v>5.0000000000000001E-3</c:v>
                </c:pt>
                <c:pt idx="93" formatCode="0.00%">
                  <c:v>0.16</c:v>
                </c:pt>
                <c:pt idx="94" formatCode="0.00%">
                  <c:v>0.08</c:v>
                </c:pt>
                <c:pt idx="95" formatCode="0%">
                  <c:v>7.0000000000000007E-2</c:v>
                </c:pt>
                <c:pt idx="96" formatCode="0%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4C2-BC42-86B0-8E35ABACED98}"/>
            </c:ext>
          </c:extLst>
        </c:ser>
        <c:ser>
          <c:idx val="1"/>
          <c:order val="1"/>
          <c:tx>
            <c:v>EU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noFill/>
              <a:ln w="19050">
                <a:solidFill>
                  <a:srgbClr val="FF0000"/>
                </a:solidFill>
              </a:ln>
              <a:effectLst/>
            </c:spPr>
          </c:marker>
          <c:xVal>
            <c:numRef>
              <c:f>Curtailment!$C$101:$C$184</c:f>
              <c:numCache>
                <c:formatCode>0.0%</c:formatCode>
                <c:ptCount val="84"/>
                <c:pt idx="0">
                  <c:v>0.3</c:v>
                </c:pt>
                <c:pt idx="1">
                  <c:v>0.39</c:v>
                </c:pt>
                <c:pt idx="2">
                  <c:v>0.48</c:v>
                </c:pt>
                <c:pt idx="3">
                  <c:v>9.9000000000000005E-2</c:v>
                </c:pt>
                <c:pt idx="4">
                  <c:v>0.13</c:v>
                </c:pt>
                <c:pt idx="5">
                  <c:v>0.29799999999999999</c:v>
                </c:pt>
                <c:pt idx="6">
                  <c:v>0.12</c:v>
                </c:pt>
                <c:pt idx="7">
                  <c:v>0.23</c:v>
                </c:pt>
                <c:pt idx="8">
                  <c:v>0.34</c:v>
                </c:pt>
                <c:pt idx="9">
                  <c:v>0.46899999999999997</c:v>
                </c:pt>
                <c:pt idx="10">
                  <c:v>0.14000000000000001</c:v>
                </c:pt>
                <c:pt idx="11">
                  <c:v>0.21</c:v>
                </c:pt>
                <c:pt idx="12">
                  <c:v>0.28000000000000003</c:v>
                </c:pt>
                <c:pt idx="13">
                  <c:v>0.34</c:v>
                </c:pt>
                <c:pt idx="14">
                  <c:v>0.41499999999999998</c:v>
                </c:pt>
                <c:pt idx="15">
                  <c:v>0.49</c:v>
                </c:pt>
                <c:pt idx="16">
                  <c:v>0.56399999999999995</c:v>
                </c:pt>
                <c:pt idx="17">
                  <c:v>0.64</c:v>
                </c:pt>
                <c:pt idx="18">
                  <c:v>0.34</c:v>
                </c:pt>
                <c:pt idx="19">
                  <c:v>0.41499999999999998</c:v>
                </c:pt>
                <c:pt idx="20">
                  <c:v>0.49</c:v>
                </c:pt>
                <c:pt idx="21">
                  <c:v>0.56499999999999995</c:v>
                </c:pt>
                <c:pt idx="22">
                  <c:v>0.64</c:v>
                </c:pt>
                <c:pt idx="23">
                  <c:v>0.34</c:v>
                </c:pt>
                <c:pt idx="24">
                  <c:v>0.41499999999999998</c:v>
                </c:pt>
                <c:pt idx="25">
                  <c:v>0.49</c:v>
                </c:pt>
                <c:pt idx="26">
                  <c:v>0.56499999999999995</c:v>
                </c:pt>
                <c:pt idx="27">
                  <c:v>0.64</c:v>
                </c:pt>
                <c:pt idx="28">
                  <c:v>0.34</c:v>
                </c:pt>
                <c:pt idx="29">
                  <c:v>0.41499999999999998</c:v>
                </c:pt>
                <c:pt idx="30">
                  <c:v>0.49</c:v>
                </c:pt>
                <c:pt idx="31">
                  <c:v>0.56499999999999995</c:v>
                </c:pt>
                <c:pt idx="32">
                  <c:v>0.64</c:v>
                </c:pt>
                <c:pt idx="33" formatCode="0%">
                  <c:v>0.37</c:v>
                </c:pt>
                <c:pt idx="34" formatCode="0%">
                  <c:v>0.37</c:v>
                </c:pt>
                <c:pt idx="35" formatCode="0%">
                  <c:v>0.2</c:v>
                </c:pt>
                <c:pt idx="36" formatCode="0%">
                  <c:v>0.2</c:v>
                </c:pt>
                <c:pt idx="37" formatCode="0%">
                  <c:v>0.35</c:v>
                </c:pt>
                <c:pt idx="38" formatCode="0%">
                  <c:v>0.5</c:v>
                </c:pt>
                <c:pt idx="39" formatCode="0%">
                  <c:v>0.6</c:v>
                </c:pt>
                <c:pt idx="40" formatCode="0.00%">
                  <c:v>0.27100000000000002</c:v>
                </c:pt>
                <c:pt idx="41" formatCode="0.00%">
                  <c:v>0.27100000000000002</c:v>
                </c:pt>
                <c:pt idx="42" formatCode="0.00%">
                  <c:v>0.27100000000000002</c:v>
                </c:pt>
                <c:pt idx="43" formatCode="0.00%">
                  <c:v>0.27100000000000002</c:v>
                </c:pt>
                <c:pt idx="44" formatCode="0.00%">
                  <c:v>0.32600000000000001</c:v>
                </c:pt>
                <c:pt idx="45" formatCode="0.00%">
                  <c:v>0.32600000000000001</c:v>
                </c:pt>
                <c:pt idx="46" formatCode="0.00%">
                  <c:v>0.32600000000000001</c:v>
                </c:pt>
                <c:pt idx="47" formatCode="0.00%">
                  <c:v>0.32600000000000001</c:v>
                </c:pt>
                <c:pt idx="48" formatCode="0.00%">
                  <c:v>0.41699999999999998</c:v>
                </c:pt>
                <c:pt idx="49" formatCode="0.00%">
                  <c:v>0.41699999999999998</c:v>
                </c:pt>
                <c:pt idx="50" formatCode="0.00%">
                  <c:v>0.41699999999999998</c:v>
                </c:pt>
                <c:pt idx="51" formatCode="0.00%">
                  <c:v>0.41699999999999998</c:v>
                </c:pt>
                <c:pt idx="52" formatCode="0%">
                  <c:v>0.51</c:v>
                </c:pt>
                <c:pt idx="53" formatCode="0%">
                  <c:v>0.6</c:v>
                </c:pt>
                <c:pt idx="54" formatCode="0%">
                  <c:v>0.64</c:v>
                </c:pt>
                <c:pt idx="55" formatCode="0%">
                  <c:v>0.8</c:v>
                </c:pt>
                <c:pt idx="56" formatCode="0%">
                  <c:v>0.94</c:v>
                </c:pt>
                <c:pt idx="57" formatCode="0.00%">
                  <c:v>0.17</c:v>
                </c:pt>
                <c:pt idx="58" formatCode="0.00%">
                  <c:v>0.34499999999999997</c:v>
                </c:pt>
                <c:pt idx="59" formatCode="0.00%">
                  <c:v>0.5</c:v>
                </c:pt>
                <c:pt idx="60" formatCode="0.00%">
                  <c:v>0.61499999999999999</c:v>
                </c:pt>
                <c:pt idx="61" formatCode="0.00%">
                  <c:v>0.69499999999999995</c:v>
                </c:pt>
                <c:pt idx="62" formatCode="0.00%">
                  <c:v>0.17</c:v>
                </c:pt>
                <c:pt idx="63" formatCode="0.00%">
                  <c:v>0.34499999999999997</c:v>
                </c:pt>
                <c:pt idx="64" formatCode="0.00%">
                  <c:v>0.5</c:v>
                </c:pt>
                <c:pt idx="65" formatCode="0.00%">
                  <c:v>0.63500000000000001</c:v>
                </c:pt>
                <c:pt idx="66" formatCode="0.00%">
                  <c:v>0.72</c:v>
                </c:pt>
                <c:pt idx="67" formatCode="0%">
                  <c:v>0.36</c:v>
                </c:pt>
                <c:pt idx="68" formatCode="0%">
                  <c:v>0.69</c:v>
                </c:pt>
                <c:pt idx="69" formatCode="0%">
                  <c:v>0.73</c:v>
                </c:pt>
                <c:pt idx="70" formatCode="0%">
                  <c:v>0.76</c:v>
                </c:pt>
                <c:pt idx="71" formatCode="0%">
                  <c:v>0.88</c:v>
                </c:pt>
                <c:pt idx="72" formatCode="0.00%">
                  <c:v>0.159</c:v>
                </c:pt>
                <c:pt idx="73" formatCode="0.00%">
                  <c:v>0.31</c:v>
                </c:pt>
                <c:pt idx="74">
                  <c:v>8.4000000000000005E-2</c:v>
                </c:pt>
                <c:pt idx="75">
                  <c:v>8.5999999999999993E-2</c:v>
                </c:pt>
                <c:pt idx="76">
                  <c:v>9.7000000000000003E-2</c:v>
                </c:pt>
                <c:pt idx="77">
                  <c:v>0.13300000000000001</c:v>
                </c:pt>
                <c:pt idx="78">
                  <c:v>0.13</c:v>
                </c:pt>
                <c:pt idx="79" formatCode="0.00%">
                  <c:v>5.6000000000000001E-2</c:v>
                </c:pt>
                <c:pt idx="80" formatCode="0.00%">
                  <c:v>8.1000000000000003E-2</c:v>
                </c:pt>
                <c:pt idx="81" formatCode="0.00%">
                  <c:v>9.5000000000000001E-2</c:v>
                </c:pt>
                <c:pt idx="82" formatCode="0.00%">
                  <c:v>0.11899999999999999</c:v>
                </c:pt>
                <c:pt idx="83" formatCode="0.00%">
                  <c:v>0.111</c:v>
                </c:pt>
              </c:numCache>
            </c:numRef>
          </c:xVal>
          <c:yVal>
            <c:numRef>
              <c:f>Curtailment!$D$101:$D$184</c:f>
              <c:numCache>
                <c:formatCode>0.0%</c:formatCode>
                <c:ptCount val="84"/>
                <c:pt idx="0">
                  <c:v>5.0000000000000001E-3</c:v>
                </c:pt>
                <c:pt idx="1">
                  <c:v>2.8000000000000001E-2</c:v>
                </c:pt>
                <c:pt idx="2">
                  <c:v>0.05</c:v>
                </c:pt>
                <c:pt idx="3">
                  <c:v>2.3719999999999999E-4</c:v>
                </c:pt>
                <c:pt idx="4">
                  <c:v>1.194E-4</c:v>
                </c:pt>
                <c:pt idx="5">
                  <c:v>5.0000000000000001E-3</c:v>
                </c:pt>
                <c:pt idx="6">
                  <c:v>1.9000000000000001E-4</c:v>
                </c:pt>
                <c:pt idx="7">
                  <c:v>2.3719999999999999E-4</c:v>
                </c:pt>
                <c:pt idx="8">
                  <c:v>5.0000000000000001E-3</c:v>
                </c:pt>
                <c:pt idx="9">
                  <c:v>2.3E-2</c:v>
                </c:pt>
                <c:pt idx="10">
                  <c:v>2.31E-4</c:v>
                </c:pt>
                <c:pt idx="11">
                  <c:v>1E-3</c:v>
                </c:pt>
                <c:pt idx="12">
                  <c:v>3.0000000000000001E-3</c:v>
                </c:pt>
                <c:pt idx="13">
                  <c:v>4.0000000000000001E-3</c:v>
                </c:pt>
                <c:pt idx="14">
                  <c:v>1.7000000000000001E-2</c:v>
                </c:pt>
                <c:pt idx="15">
                  <c:v>4.1000000000000002E-2</c:v>
                </c:pt>
                <c:pt idx="16">
                  <c:v>0.10100000000000001</c:v>
                </c:pt>
                <c:pt idx="17">
                  <c:v>0.182</c:v>
                </c:pt>
                <c:pt idx="18">
                  <c:v>3.0000000000000001E-3</c:v>
                </c:pt>
                <c:pt idx="19">
                  <c:v>1.0999999999999999E-2</c:v>
                </c:pt>
                <c:pt idx="20">
                  <c:v>0.02</c:v>
                </c:pt>
                <c:pt idx="21">
                  <c:v>5.8999999999999997E-2</c:v>
                </c:pt>
                <c:pt idx="22">
                  <c:v>0.13200000000000001</c:v>
                </c:pt>
                <c:pt idx="23">
                  <c:v>2E-3</c:v>
                </c:pt>
                <c:pt idx="24">
                  <c:v>8.0000000000000002E-3</c:v>
                </c:pt>
                <c:pt idx="25">
                  <c:v>1.4E-2</c:v>
                </c:pt>
                <c:pt idx="26">
                  <c:v>3.1E-2</c:v>
                </c:pt>
                <c:pt idx="27">
                  <c:v>6.3E-2</c:v>
                </c:pt>
                <c:pt idx="28">
                  <c:v>9.6829999999999996E-4</c:v>
                </c:pt>
                <c:pt idx="29">
                  <c:v>4.0000000000000001E-3</c:v>
                </c:pt>
                <c:pt idx="30">
                  <c:v>6.0000000000000001E-3</c:v>
                </c:pt>
                <c:pt idx="31">
                  <c:v>2.3E-2</c:v>
                </c:pt>
                <c:pt idx="32">
                  <c:v>0.04</c:v>
                </c:pt>
                <c:pt idx="33" formatCode="0%">
                  <c:v>0.14000000000000001</c:v>
                </c:pt>
                <c:pt idx="34" formatCode="0%">
                  <c:v>7.0000000000000007E-2</c:v>
                </c:pt>
                <c:pt idx="35" formatCode="0.00%">
                  <c:v>1.7000000000000001E-2</c:v>
                </c:pt>
                <c:pt idx="36" formatCode="0.00%">
                  <c:v>1.7000000000000001E-2</c:v>
                </c:pt>
                <c:pt idx="37" formatCode="0.00%">
                  <c:v>6.0000000000000001E-3</c:v>
                </c:pt>
                <c:pt idx="38" formatCode="0.00%">
                  <c:v>5.0000000000000001E-3</c:v>
                </c:pt>
                <c:pt idx="39" formatCode="0%">
                  <c:v>0.01</c:v>
                </c:pt>
                <c:pt idx="40" formatCode="0.00%">
                  <c:v>2.9999999999999997E-4</c:v>
                </c:pt>
                <c:pt idx="41" formatCode="0.00%">
                  <c:v>1.5E-3</c:v>
                </c:pt>
                <c:pt idx="42" formatCode="0.00%">
                  <c:v>0</c:v>
                </c:pt>
                <c:pt idx="43" formatCode="0.00%">
                  <c:v>4.0000000000000002E-4</c:v>
                </c:pt>
                <c:pt idx="44" formatCode="0.00%">
                  <c:v>2.5000000000000001E-3</c:v>
                </c:pt>
                <c:pt idx="45" formatCode="0.00%">
                  <c:v>8.3000000000000001E-3</c:v>
                </c:pt>
                <c:pt idx="46" formatCode="0.00%">
                  <c:v>8.0000000000000004E-4</c:v>
                </c:pt>
                <c:pt idx="47" formatCode="0.00%">
                  <c:v>3.4999999999999996E-3</c:v>
                </c:pt>
                <c:pt idx="48" formatCode="0.00%">
                  <c:v>1.6E-2</c:v>
                </c:pt>
                <c:pt idx="49" formatCode="0.00%">
                  <c:v>3.2000000000000001E-2</c:v>
                </c:pt>
                <c:pt idx="50" formatCode="0.00%">
                  <c:v>9.0000000000000011E-3</c:v>
                </c:pt>
                <c:pt idx="51" formatCode="0.00%">
                  <c:v>2.2000000000000002E-2</c:v>
                </c:pt>
                <c:pt idx="52" formatCode="0%">
                  <c:v>0</c:v>
                </c:pt>
                <c:pt idx="53" formatCode="0%">
                  <c:v>0</c:v>
                </c:pt>
                <c:pt idx="54" formatCode="0%">
                  <c:v>0</c:v>
                </c:pt>
                <c:pt idx="55" formatCode="0%">
                  <c:v>0.02</c:v>
                </c:pt>
                <c:pt idx="56" formatCode="0%">
                  <c:v>0.17</c:v>
                </c:pt>
                <c:pt idx="57" formatCode="0%">
                  <c:v>0</c:v>
                </c:pt>
                <c:pt idx="58" formatCode="0%">
                  <c:v>0</c:v>
                </c:pt>
                <c:pt idx="59" formatCode="0.00%">
                  <c:v>1.2999999999999999E-2</c:v>
                </c:pt>
                <c:pt idx="60" formatCode="0%">
                  <c:v>0.06</c:v>
                </c:pt>
                <c:pt idx="61" formatCode="0%">
                  <c:v>0.14000000000000001</c:v>
                </c:pt>
                <c:pt idx="62" formatCode="0%">
                  <c:v>0</c:v>
                </c:pt>
                <c:pt idx="63" formatCode="0%">
                  <c:v>0</c:v>
                </c:pt>
                <c:pt idx="64" formatCode="0.00%">
                  <c:v>7.0000000000000001E-3</c:v>
                </c:pt>
                <c:pt idx="65" formatCode="0%">
                  <c:v>0.04</c:v>
                </c:pt>
                <c:pt idx="66" formatCode="0.00%">
                  <c:v>0.105</c:v>
                </c:pt>
                <c:pt idx="67" formatCode="0%">
                  <c:v>0.04</c:v>
                </c:pt>
                <c:pt idx="68" formatCode="0%">
                  <c:v>0.11</c:v>
                </c:pt>
                <c:pt idx="69" formatCode="0%">
                  <c:v>0.06</c:v>
                </c:pt>
                <c:pt idx="70" formatCode="0%">
                  <c:v>0.01</c:v>
                </c:pt>
                <c:pt idx="71" formatCode="0%">
                  <c:v>0.08</c:v>
                </c:pt>
                <c:pt idx="72" formatCode="0.00%">
                  <c:v>6.0000000000000001E-3</c:v>
                </c:pt>
                <c:pt idx="73" formatCode="0.00%">
                  <c:v>0.03</c:v>
                </c:pt>
                <c:pt idx="74">
                  <c:v>7.0000000000000001E-3</c:v>
                </c:pt>
                <c:pt idx="75">
                  <c:v>8.9999999999999993E-3</c:v>
                </c:pt>
                <c:pt idx="76">
                  <c:v>2.1000000000000001E-2</c:v>
                </c:pt>
                <c:pt idx="77">
                  <c:v>0.05</c:v>
                </c:pt>
                <c:pt idx="78">
                  <c:v>4.3999999999999997E-2</c:v>
                </c:pt>
                <c:pt idx="79" formatCode="0.00%">
                  <c:v>4.0000000000000001E-3</c:v>
                </c:pt>
                <c:pt idx="80" formatCode="0.00%">
                  <c:v>2.4E-2</c:v>
                </c:pt>
                <c:pt idx="81" formatCode="0.00%">
                  <c:v>3.5999999999999997E-2</c:v>
                </c:pt>
                <c:pt idx="82" formatCode="0.00%">
                  <c:v>5.7000000000000002E-2</c:v>
                </c:pt>
                <c:pt idx="83" formatCode="0.00%">
                  <c:v>5.6000000000000001E-2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C2-BC42-86B0-8E35ABACE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4579584"/>
        <c:axId val="144582912"/>
      </c:scatterChart>
      <c:valAx>
        <c:axId val="144579584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/>
                  <a:t>VRE penetration</a:t>
                </a:r>
                <a:r>
                  <a:rPr lang="en-GB" sz="1400" b="1" baseline="0"/>
                  <a:t> (% of annual energy)</a:t>
                </a:r>
                <a:endParaRPr lang="en-GB" sz="1400" b="1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82912"/>
        <c:crosses val="autoZero"/>
        <c:crossBetween val="midCat"/>
      </c:valAx>
      <c:valAx>
        <c:axId val="144582912"/>
        <c:scaling>
          <c:orientation val="minMax"/>
          <c:max val="1.05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="1"/>
                  <a:t>Curtailment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5795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Chart Title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US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Calibri"/>
            </a:rPr>
            <a:t>Chart Title</a:t>
          </a:r>
        </a:p>
      </cx:txPr>
    </cx:title>
    <cx:plotArea>
      <cx:plotAreaRegion>
        <cx:series layoutId="clusteredColumn" uniqueId="{7E297743-69E3-4774-8BD9-FFE7087ACD75}">
          <cx:dataId val="0"/>
          <cx:layoutPr>
            <cx:binning intervalClosed="r"/>
          </cx:layoutPr>
        </cx:series>
      </cx:plotAreaRegion>
      <cx:axis id="0">
        <cx:catScaling/>
        <cx:majorGridlines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microsoft.com/office/2014/relationships/chartEx" Target="../charts/chartEx1.xml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296860</xdr:colOff>
      <xdr:row>1</xdr:row>
      <xdr:rowOff>66145</xdr:rowOff>
    </xdr:from>
    <xdr:to>
      <xdr:col>41</xdr:col>
      <xdr:colOff>367241</xdr:colOff>
      <xdr:row>37</xdr:row>
      <xdr:rowOff>34925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9524</xdr:colOff>
      <xdr:row>3</xdr:row>
      <xdr:rowOff>95248</xdr:rowOff>
    </xdr:from>
    <xdr:to>
      <xdr:col>23</xdr:col>
      <xdr:colOff>228600</xdr:colOff>
      <xdr:row>32</xdr:row>
      <xdr:rowOff>63499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469900</xdr:colOff>
      <xdr:row>37</xdr:row>
      <xdr:rowOff>146049</xdr:rowOff>
    </xdr:from>
    <xdr:to>
      <xdr:col>20</xdr:col>
      <xdr:colOff>450850</xdr:colOff>
      <xdr:row>61</xdr:row>
      <xdr:rowOff>57149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428624</xdr:colOff>
      <xdr:row>4</xdr:row>
      <xdr:rowOff>161924</xdr:rowOff>
    </xdr:from>
    <xdr:to>
      <xdr:col>20</xdr:col>
      <xdr:colOff>355600</xdr:colOff>
      <xdr:row>34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600074</xdr:colOff>
      <xdr:row>3</xdr:row>
      <xdr:rowOff>41274</xdr:rowOff>
    </xdr:from>
    <xdr:to>
      <xdr:col>25</xdr:col>
      <xdr:colOff>88900</xdr:colOff>
      <xdr:row>33</xdr:row>
      <xdr:rowOff>22225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304799</xdr:colOff>
      <xdr:row>3</xdr:row>
      <xdr:rowOff>79374</xdr:rowOff>
    </xdr:from>
    <xdr:to>
      <xdr:col>24</xdr:col>
      <xdr:colOff>177800</xdr:colOff>
      <xdr:row>36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409574</xdr:colOff>
      <xdr:row>3</xdr:row>
      <xdr:rowOff>104774</xdr:rowOff>
    </xdr:from>
    <xdr:to>
      <xdr:col>22</xdr:col>
      <xdr:colOff>571500</xdr:colOff>
      <xdr:row>33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8379EF-EC07-4F75-B921-48D5894DDF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190500</xdr:colOff>
      <xdr:row>94</xdr:row>
      <xdr:rowOff>114300</xdr:rowOff>
    </xdr:from>
    <xdr:to>
      <xdr:col>23</xdr:col>
      <xdr:colOff>38100</xdr:colOff>
      <xdr:row>113</xdr:row>
      <xdr:rowOff>38100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3AA8C24-1897-56D3-CA1C-4517F440B59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442700" y="5067300"/>
              <a:ext cx="5232400" cy="3060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15</xdr:col>
      <xdr:colOff>171450</xdr:colOff>
      <xdr:row>68</xdr:row>
      <xdr:rowOff>104774</xdr:rowOff>
    </xdr:from>
    <xdr:to>
      <xdr:col>24</xdr:col>
      <xdr:colOff>133350</xdr:colOff>
      <xdr:row>92</xdr:row>
      <xdr:rowOff>104774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CEA01EE-4279-3B1B-767B-23B85FEA0B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368299</xdr:colOff>
      <xdr:row>3</xdr:row>
      <xdr:rowOff>34924</xdr:rowOff>
    </xdr:from>
    <xdr:to>
      <xdr:col>17</xdr:col>
      <xdr:colOff>234950</xdr:colOff>
      <xdr:row>37</xdr:row>
      <xdr:rowOff>158749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628650</xdr:colOff>
      <xdr:row>1</xdr:row>
      <xdr:rowOff>142875</xdr:rowOff>
    </xdr:from>
    <xdr:to>
      <xdr:col>13</xdr:col>
      <xdr:colOff>342900</xdr:colOff>
      <xdr:row>36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sciencedirect.com/science/article/pii/S0306261913004108" TargetMode="External"/><Relationship Id="rId299" Type="http://schemas.openxmlformats.org/officeDocument/2006/relationships/hyperlink" Target="http://www.sciencedirect.com/science/article/pii/S1364032111000864" TargetMode="External"/><Relationship Id="rId21" Type="http://schemas.openxmlformats.org/officeDocument/2006/relationships/hyperlink" Target="http://ieeexplore.ieee.org/xpls/abs_all.jsp?arnumber=5071241&amp;tag=1" TargetMode="External"/><Relationship Id="rId63" Type="http://schemas.openxmlformats.org/officeDocument/2006/relationships/hyperlink" Target="http://ieeexplore.ieee.org/xpls/abs_all.jsp?arnumber=6576286&amp;tag=1" TargetMode="External"/><Relationship Id="rId159" Type="http://schemas.openxmlformats.org/officeDocument/2006/relationships/hyperlink" Target="http://ieeexplore.ieee.org/xpls/icp.jsp?arnumber=6220901" TargetMode="External"/><Relationship Id="rId324" Type="http://schemas.openxmlformats.org/officeDocument/2006/relationships/hyperlink" Target="http://ieeexplore.ieee.org/xpls/abs_all.jsp?arnumber=1709240&amp;tag=1" TargetMode="External"/><Relationship Id="rId366" Type="http://schemas.openxmlformats.org/officeDocument/2006/relationships/hyperlink" Target="https://www.ofgem.gov.uk/ofgem-publications/88523/electricitycapacityassessment2014-fullreportfinalforpublication.pdf" TargetMode="External"/><Relationship Id="rId170" Type="http://schemas.openxmlformats.org/officeDocument/2006/relationships/hyperlink" Target="http://energyexemplar.com/wp-content/uploads/publications/Evaluating%20the%20Impact%20of%20Wind%20Power%20Uncertainty%20on%20Power%20System%20Adequacy.pdf" TargetMode="External"/><Relationship Id="rId226" Type="http://schemas.openxmlformats.org/officeDocument/2006/relationships/hyperlink" Target="http://ieeexplore.ieee.org/xpls/abs_all.jsp?arnumber=5342465" TargetMode="External"/><Relationship Id="rId433" Type="http://schemas.openxmlformats.org/officeDocument/2006/relationships/hyperlink" Target="http://www.poyry.com/sites/default/files/imce/files/impactofintermittencygbandi-july2009-energy.pdf" TargetMode="External"/><Relationship Id="rId268" Type="http://schemas.openxmlformats.org/officeDocument/2006/relationships/hyperlink" Target="http://ieeexplore.ieee.org/xpls/abs_all.jsp?arnumber=4106021&amp;tag=1" TargetMode="External"/><Relationship Id="rId32" Type="http://schemas.openxmlformats.org/officeDocument/2006/relationships/hyperlink" Target="http://www.sciencedirect.com/science/article/pii/S096014810900490X" TargetMode="External"/><Relationship Id="rId74" Type="http://schemas.openxmlformats.org/officeDocument/2006/relationships/hyperlink" Target="http://www.nber.org/papers/w17086" TargetMode="External"/><Relationship Id="rId128" Type="http://schemas.openxmlformats.org/officeDocument/2006/relationships/hyperlink" Target="http://www.sciencedirect.com/science/article/pii/S1040619006000108" TargetMode="External"/><Relationship Id="rId335" Type="http://schemas.openxmlformats.org/officeDocument/2006/relationships/hyperlink" Target="http://ieeexplore.ieee.org/xpls/abs_all.jsp?arnumber=5159604&amp;tag=1" TargetMode="External"/><Relationship Id="rId377" Type="http://schemas.openxmlformats.org/officeDocument/2006/relationships/hyperlink" Target="https://www.iea.org/publications/freepublications/publication/Harnessing_Variable_Renewables2011.pdf" TargetMode="External"/><Relationship Id="rId5" Type="http://schemas.openxmlformats.org/officeDocument/2006/relationships/hyperlink" Target="http://www.sciencedirect.com/science/article/pii/S0378779609002764" TargetMode="External"/><Relationship Id="rId181" Type="http://schemas.openxmlformats.org/officeDocument/2006/relationships/hyperlink" Target="http://www.sciencedirect.com/science/article/pii/S0957417407003685" TargetMode="External"/><Relationship Id="rId237" Type="http://schemas.openxmlformats.org/officeDocument/2006/relationships/hyperlink" Target="http://ieeexplore.ieee.org/xpls/abs_all.jsp?arnumber=6039860&amp;tag=1" TargetMode="External"/><Relationship Id="rId402" Type="http://schemas.openxmlformats.org/officeDocument/2006/relationships/hyperlink" Target="http://www.epri.com/abstracts/Pages/ProductAbstract.aspx?productId=000000003002004878" TargetMode="External"/><Relationship Id="rId279" Type="http://schemas.openxmlformats.org/officeDocument/2006/relationships/hyperlink" Target="http://ieeexplore.ieee.org/xpls/abs_all.jsp?arnumber=4787535" TargetMode="External"/><Relationship Id="rId444" Type="http://schemas.openxmlformats.org/officeDocument/2006/relationships/hyperlink" Target="http://www.eirgridgroup.com/site-files/library/EirGrid/RoCoF-Alternative-Solutions-Project-Phase-2-Report-Final.pdf" TargetMode="External"/><Relationship Id="rId43" Type="http://schemas.openxmlformats.org/officeDocument/2006/relationships/hyperlink" Target="http://ieeexplore.ieee.org/xpls/abs_all.jsp?arnumber=5275940" TargetMode="External"/><Relationship Id="rId139" Type="http://schemas.openxmlformats.org/officeDocument/2006/relationships/hyperlink" Target="http://ieeexplore.ieee.org/xpls/icp.jsp?arnumber=5224024" TargetMode="External"/><Relationship Id="rId290" Type="http://schemas.openxmlformats.org/officeDocument/2006/relationships/hyperlink" Target="http://www.sciencedirect.com/science/article/pii/S0301421510009225" TargetMode="External"/><Relationship Id="rId304" Type="http://schemas.openxmlformats.org/officeDocument/2006/relationships/hyperlink" Target="http://www.sciencedirect.com/science/article/pii/S0301421508001882" TargetMode="External"/><Relationship Id="rId346" Type="http://schemas.openxmlformats.org/officeDocument/2006/relationships/hyperlink" Target="http://www.sciencedirect.com/science/article/pii/S0378779606001908," TargetMode="External"/><Relationship Id="rId388" Type="http://schemas.openxmlformats.org/officeDocument/2006/relationships/hyperlink" Target="http://moo.usea.org/sites/default/files/102011_Integrating%20intermittent%20renewable%20energy%20technologies%20with%20coal-fired%20power%20plant_ccc189.pdf" TargetMode="External"/><Relationship Id="rId85" Type="http://schemas.openxmlformats.org/officeDocument/2006/relationships/hyperlink" Target="http://www.c2es.orgwww.c2es.org/docUploads/10-50_Berry.pdf" TargetMode="External"/><Relationship Id="rId150" Type="http://schemas.openxmlformats.org/officeDocument/2006/relationships/hyperlink" Target="http://ieeexplore.ieee.org/xpls/icp.jsp?arnumber=5589305" TargetMode="External"/><Relationship Id="rId192" Type="http://schemas.openxmlformats.org/officeDocument/2006/relationships/hyperlink" Target="http://www.sciencedirect.com/science/article/pii/S1364032108000282" TargetMode="External"/><Relationship Id="rId206" Type="http://schemas.openxmlformats.org/officeDocument/2006/relationships/hyperlink" Target="http://ieeexplore.ieee.org/xpls/abs_all.jsp?arnumber=5618059" TargetMode="External"/><Relationship Id="rId413" Type="http://schemas.openxmlformats.org/officeDocument/2006/relationships/hyperlink" Target="http://www.epri.com/abstracts/pages/productabstract.aspx?ProductID=000000000001023166" TargetMode="External"/><Relationship Id="rId248" Type="http://schemas.openxmlformats.org/officeDocument/2006/relationships/hyperlink" Target="http://www.sciencedirect.com/science/article/pii/S0140988308000789" TargetMode="External"/><Relationship Id="rId12" Type="http://schemas.openxmlformats.org/officeDocument/2006/relationships/hyperlink" Target="http://ieeexplore.ieee.org/xpls/abs_all.jsp?arnumber=4556639" TargetMode="External"/><Relationship Id="rId108" Type="http://schemas.openxmlformats.org/officeDocument/2006/relationships/hyperlink" Target="http://www.sciencedirect.com/science/article/pii/S1359431111001463" TargetMode="External"/><Relationship Id="rId315" Type="http://schemas.openxmlformats.org/officeDocument/2006/relationships/hyperlink" Target="http://www.sciencedirect.com/science/article/pii/S1040619008001930" TargetMode="External"/><Relationship Id="rId357" Type="http://schemas.openxmlformats.org/officeDocument/2006/relationships/hyperlink" Target="http://ieeexplore.ieee.org/stamp/stamp.jsp?tp=&amp;arnumber=5589405" TargetMode="External"/><Relationship Id="rId54" Type="http://schemas.openxmlformats.org/officeDocument/2006/relationships/hyperlink" Target="http://ieeexplore.ieee.org/xpls/abs_all.jsp?arnumber=6299004&amp;tag=1" TargetMode="External"/><Relationship Id="rId96" Type="http://schemas.openxmlformats.org/officeDocument/2006/relationships/hyperlink" Target="http://www.sciencedirect.com/science/article/pii/S0301421510006695" TargetMode="External"/><Relationship Id="rId161" Type="http://schemas.openxmlformats.org/officeDocument/2006/relationships/hyperlink" Target="http://ieeexplore.ieee.org/xpls/icp.jsp?arnumber=5570791" TargetMode="External"/><Relationship Id="rId217" Type="http://schemas.openxmlformats.org/officeDocument/2006/relationships/hyperlink" Target="http://www.sciencedirect.com/science/article/pii/S0306261913001529" TargetMode="External"/><Relationship Id="rId399" Type="http://schemas.openxmlformats.org/officeDocument/2006/relationships/hyperlink" Target="https://www.iea.org/publications/freepublications/publication/Harnessing_Variable_Renewables2011.pdf" TargetMode="External"/><Relationship Id="rId259" Type="http://schemas.openxmlformats.org/officeDocument/2006/relationships/hyperlink" Target="http://www.sciencedirect.com/science/article/pii/S0301421507001504" TargetMode="External"/><Relationship Id="rId424" Type="http://schemas.openxmlformats.org/officeDocument/2006/relationships/hyperlink" Target="http://www.wind-integration.eu/downloads/library/EWIS_Final_Report.pdf" TargetMode="External"/><Relationship Id="rId23" Type="http://schemas.openxmlformats.org/officeDocument/2006/relationships/hyperlink" Target="http://www.sciencedirect.com/science/article/pii/S0301421509005473" TargetMode="External"/><Relationship Id="rId119" Type="http://schemas.openxmlformats.org/officeDocument/2006/relationships/hyperlink" Target="http://www.sciencedirect.com/science/article/pii/S0301421512004697" TargetMode="External"/><Relationship Id="rId270" Type="http://schemas.openxmlformats.org/officeDocument/2006/relationships/hyperlink" Target="http://www.sciencedirect.com/science/article/pii/S0301421509005497" TargetMode="External"/><Relationship Id="rId326" Type="http://schemas.openxmlformats.org/officeDocument/2006/relationships/hyperlink" Target="http://ieeexplore.ieee.org/stamp/stamp.jsp?tp=&amp;arnumber=5589908" TargetMode="External"/><Relationship Id="rId65" Type="http://schemas.openxmlformats.org/officeDocument/2006/relationships/hyperlink" Target="http://ieeexplore.ieee.org/xpls/abs_all.jsp?arnumber=4105994" TargetMode="External"/><Relationship Id="rId130" Type="http://schemas.openxmlformats.org/officeDocument/2006/relationships/hyperlink" Target="http://ieeexplore.ieee.org/xpls/icp.jsp?arnumber=1664979" TargetMode="External"/><Relationship Id="rId368" Type="http://schemas.openxmlformats.org/officeDocument/2006/relationships/hyperlink" Target="http://www.bre.co.uk/filelibrary/nsc/Documents%20Library/National%20Grid/NAT-G_Info_UK-FES_0714.pdf" TargetMode="External"/><Relationship Id="rId172" Type="http://schemas.openxmlformats.org/officeDocument/2006/relationships/hyperlink" Target="http://ieeexplore.ieee.org/xpls/icp.jsp?arnumber=6612755" TargetMode="External"/><Relationship Id="rId228" Type="http://schemas.openxmlformats.org/officeDocument/2006/relationships/hyperlink" Target="https://books.google.co.uk/books?hl=en&amp;lr=&amp;id=lE1e4chSiSsC&amp;oi=fnd&amp;pg=PP1&amp;dq=Transmission++wind+OR+solar+OR+storage&amp;ots=uKmknp2h-e&amp;sig=NWd24aCmQSgdfRQsPn_uXTHoh5Q" TargetMode="External"/><Relationship Id="rId435" Type="http://schemas.openxmlformats.org/officeDocument/2006/relationships/hyperlink" Target="http://www.poyry.com/sites/default/files/imce/files/intermittency_-_march_2011_-_energy.pdf" TargetMode="External"/><Relationship Id="rId281" Type="http://schemas.openxmlformats.org/officeDocument/2006/relationships/hyperlink" Target="http://ieeexplore.ieee.org/xpls/abs_all.jsp?arnumber=5275922" TargetMode="External"/><Relationship Id="rId337" Type="http://schemas.openxmlformats.org/officeDocument/2006/relationships/hyperlink" Target="http://ieeexplore.ieee.org/xpls/abs_all.jsp?arnumber=5753324" TargetMode="External"/><Relationship Id="rId34" Type="http://schemas.openxmlformats.org/officeDocument/2006/relationships/hyperlink" Target="http://www.sciencedirect.com/science/article/pii/S0301421507004454" TargetMode="External"/><Relationship Id="rId76" Type="http://schemas.openxmlformats.org/officeDocument/2006/relationships/hyperlink" Target="http://www.sciencedirect.com/science/article/pii/S1364032112003243" TargetMode="External"/><Relationship Id="rId141" Type="http://schemas.openxmlformats.org/officeDocument/2006/relationships/hyperlink" Target="http://ieeexplore.ieee.org/xpls/icp.jsp?arnumber=5713846" TargetMode="External"/><Relationship Id="rId379" Type="http://schemas.openxmlformats.org/officeDocument/2006/relationships/hyperlink" Target="https://www.esmap.org/sites/esmap.org/files/DocumentLibrary/Silvia_Integration%20of%20VRE_SMR.pdf" TargetMode="External"/><Relationship Id="rId7" Type="http://schemas.openxmlformats.org/officeDocument/2006/relationships/hyperlink" Target="http://www.sciencedirect.com/science/article/pii/S0957178708000611" TargetMode="External"/><Relationship Id="rId183" Type="http://schemas.openxmlformats.org/officeDocument/2006/relationships/hyperlink" Target="http://ieeexplore.ieee.org/xpls/abs_all.jsp?arnumber=4115920" TargetMode="External"/><Relationship Id="rId239" Type="http://schemas.openxmlformats.org/officeDocument/2006/relationships/hyperlink" Target="http://www.sciencedirect.com/science/article/pii/S0960148111000863" TargetMode="External"/><Relationship Id="rId390" Type="http://schemas.openxmlformats.org/officeDocument/2006/relationships/hyperlink" Target="http://www.esrl.noaa.gov/gmd/publications/annual_meetings/2015/slides/5-MacDonald.pdf" TargetMode="External"/><Relationship Id="rId404" Type="http://schemas.openxmlformats.org/officeDocument/2006/relationships/hyperlink" Target="http://www.ecofys.com/en/publications/power-system-flexibility-strategic-roadmap/" TargetMode="External"/><Relationship Id="rId446" Type="http://schemas.openxmlformats.org/officeDocument/2006/relationships/hyperlink" Target="https://www.theccc.org.uk/wp-content/uploads/2015/10/CCC_Externalities_report_Imperial_Final_21Oct20151.pdf" TargetMode="External"/><Relationship Id="rId250" Type="http://schemas.openxmlformats.org/officeDocument/2006/relationships/hyperlink" Target="http://www.sciencedirect.com/science/article/pii/S0306261911002339" TargetMode="External"/><Relationship Id="rId292" Type="http://schemas.openxmlformats.org/officeDocument/2006/relationships/hyperlink" Target="http://ieeexplore.ieee.org/xpls/abs_all.jsp?arnumber=6555977" TargetMode="External"/><Relationship Id="rId306" Type="http://schemas.openxmlformats.org/officeDocument/2006/relationships/hyperlink" Target="http://www.sciencedirect.com/science/article/pii/S0301421511002795" TargetMode="External"/><Relationship Id="rId45" Type="http://schemas.openxmlformats.org/officeDocument/2006/relationships/hyperlink" Target="http://ieeexplore.ieee.org/xpls/abs_all.jsp?arnumber=6580876" TargetMode="External"/><Relationship Id="rId87" Type="http://schemas.openxmlformats.org/officeDocument/2006/relationships/hyperlink" Target="https://books.google.co.uk/books?hl=en&amp;lr=&amp;id=LrLNBQAAQBAJ&amp;oi=fnd&amp;pg=PA99&amp;dq=solar+intermittency+OR+intermittent+OR+%22variable+generation%22&amp;ots=L8Qye_4VuM&amp;sig=BHj6gh0dK-_ZkF7jA8huMoBBSho" TargetMode="External"/><Relationship Id="rId110" Type="http://schemas.openxmlformats.org/officeDocument/2006/relationships/hyperlink" Target="https://www.smartgrid.gov/files/energy_storage.pdf" TargetMode="External"/><Relationship Id="rId348" Type="http://schemas.openxmlformats.org/officeDocument/2006/relationships/hyperlink" Target="http://www.sciencedirect.com/science/article/pii/S0301421510000959" TargetMode="External"/><Relationship Id="rId152" Type="http://schemas.openxmlformats.org/officeDocument/2006/relationships/hyperlink" Target="http://ieeexplore.ieee.org/xpls/icp.jsp?arnumber=4547449" TargetMode="External"/><Relationship Id="rId194" Type="http://schemas.openxmlformats.org/officeDocument/2006/relationships/hyperlink" Target="http://ieeexplore.ieee.org/xpls/abs_all.jsp?arnumber=4520321" TargetMode="External"/><Relationship Id="rId208" Type="http://schemas.openxmlformats.org/officeDocument/2006/relationships/hyperlink" Target="http://dl.acm.org/citation.cfm?id=1838212" TargetMode="External"/><Relationship Id="rId415" Type="http://schemas.openxmlformats.org/officeDocument/2006/relationships/hyperlink" Target="http://www.sciencedirect.com/science/article/pii/S0301421512006246" TargetMode="External"/><Relationship Id="rId261" Type="http://schemas.openxmlformats.org/officeDocument/2006/relationships/hyperlink" Target="http://ieeexplore.ieee.org/xpls/abs_all.jsp?arnumber=4202216" TargetMode="External"/><Relationship Id="rId14" Type="http://schemas.openxmlformats.org/officeDocument/2006/relationships/hyperlink" Target="http://www.jstor.org/stable/29783746?seq=2" TargetMode="External"/><Relationship Id="rId56" Type="http://schemas.openxmlformats.org/officeDocument/2006/relationships/hyperlink" Target="http://ieeexplore.ieee.org/xpls/abs_all.jsp?arnumber=4214991" TargetMode="External"/><Relationship Id="rId317" Type="http://schemas.openxmlformats.org/officeDocument/2006/relationships/hyperlink" Target="http://orbit.dtu.dk/fedora/objects/orbit:81254/datastreams/file_3628703/content" TargetMode="External"/><Relationship Id="rId359" Type="http://schemas.openxmlformats.org/officeDocument/2006/relationships/hyperlink" Target="http://ieeexplore.ieee.org/xpls/abs_all.jsp?arnumber=6039621" TargetMode="External"/><Relationship Id="rId98" Type="http://schemas.openxmlformats.org/officeDocument/2006/relationships/hyperlink" Target="http://www.sciencedirect.com/science/article/pii/S0038092X09000073" TargetMode="External"/><Relationship Id="rId121" Type="http://schemas.openxmlformats.org/officeDocument/2006/relationships/hyperlink" Target="http://www.sciencedirect.com/science/article/pii/S0960148105000716" TargetMode="External"/><Relationship Id="rId163" Type="http://schemas.openxmlformats.org/officeDocument/2006/relationships/hyperlink" Target="http://ieeexplore.ieee.org/xpls/icp.jsp?arnumber=5682424" TargetMode="External"/><Relationship Id="rId219" Type="http://schemas.openxmlformats.org/officeDocument/2006/relationships/hyperlink" Target="http://ieeexplore.ieee.org/xpls/abs_all.jsp?arnumber=5434765" TargetMode="External"/><Relationship Id="rId370" Type="http://schemas.openxmlformats.org/officeDocument/2006/relationships/hyperlink" Target="https://www.gov.uk/government/uploads/system/uploads/attachment_data/file/295362/ET_March_2014.PDF" TargetMode="External"/><Relationship Id="rId426" Type="http://schemas.openxmlformats.org/officeDocument/2006/relationships/hyperlink" Target="http://www.ieawind.org/AnnexXXV/PDF/Final%20Report%20Task%2025%202008/T2493.pdf" TargetMode="External"/><Relationship Id="rId230" Type="http://schemas.openxmlformats.org/officeDocument/2006/relationships/hyperlink" Target="http://www.sciencedirect.com/science/article/pii/S0301421509005503" TargetMode="External"/><Relationship Id="rId25" Type="http://schemas.openxmlformats.org/officeDocument/2006/relationships/hyperlink" Target="http://www.isof.cnr.it/sites/default/files/users/armaroli/Wiley_2011.pdf" TargetMode="External"/><Relationship Id="rId67" Type="http://schemas.openxmlformats.org/officeDocument/2006/relationships/hyperlink" Target="http://ieeexplore.ieee.org/xpls/abs_all.jsp?arnumber=5255493" TargetMode="External"/><Relationship Id="rId272" Type="http://schemas.openxmlformats.org/officeDocument/2006/relationships/hyperlink" Target="http://www.sciencedirect.com/science/article/pii/S2211467X13000072" TargetMode="External"/><Relationship Id="rId328" Type="http://schemas.openxmlformats.org/officeDocument/2006/relationships/hyperlink" Target="http://ieeexplore.ieee.org/xpls/abs_all.jsp?arnumber=6289406&amp;tag=1" TargetMode="External"/><Relationship Id="rId132" Type="http://schemas.openxmlformats.org/officeDocument/2006/relationships/hyperlink" Target="http://ieeexplore.ieee.org/xpls/icp.jsp?arnumber=6107576" TargetMode="External"/><Relationship Id="rId174" Type="http://schemas.openxmlformats.org/officeDocument/2006/relationships/hyperlink" Target="http://ieeexplore.ieee.org/xpls/icp.jsp?arnumber=4596797" TargetMode="External"/><Relationship Id="rId381" Type="http://schemas.openxmlformats.org/officeDocument/2006/relationships/hyperlink" Target="https://mitei.mit.edu/system/files/intermittent-renewables-whitepapers.pdf" TargetMode="External"/><Relationship Id="rId241" Type="http://schemas.openxmlformats.org/officeDocument/2006/relationships/hyperlink" Target="http://ieeexplore.ieee.org/xpls/abs_all.jsp?arnumber=4813198&amp;tag=1" TargetMode="External"/><Relationship Id="rId437" Type="http://schemas.openxmlformats.org/officeDocument/2006/relationships/hyperlink" Target="http://londoneconomics.co.uk/wp-content/uploads/2012/05/wind_electricity.pdf" TargetMode="External"/><Relationship Id="rId36" Type="http://schemas.openxmlformats.org/officeDocument/2006/relationships/hyperlink" Target="http://www.sciencedirect.com/science/article/pii/S0378775305008499" TargetMode="External"/><Relationship Id="rId283" Type="http://schemas.openxmlformats.org/officeDocument/2006/relationships/hyperlink" Target="http://multi-science.atypon.com/doi/abs/10.1260/0309-524X.36.1.53" TargetMode="External"/><Relationship Id="rId339" Type="http://schemas.openxmlformats.org/officeDocument/2006/relationships/hyperlink" Target="http://www.sciencedirect.com/science/article/pii/S0306261910005660" TargetMode="External"/><Relationship Id="rId78" Type="http://schemas.openxmlformats.org/officeDocument/2006/relationships/hyperlink" Target="http://www.sciencedirect.com/science/article/pii/S1364032110002984" TargetMode="External"/><Relationship Id="rId101" Type="http://schemas.openxmlformats.org/officeDocument/2006/relationships/hyperlink" Target="http://ieeexplore.ieee.org/xpls/abs_all.jsp?arnumber=5484214&amp;tag=1" TargetMode="External"/><Relationship Id="rId143" Type="http://schemas.openxmlformats.org/officeDocument/2006/relationships/hyperlink" Target="http://ieeexplore.ieee.org/xpls/icp.jsp?arnumber=5528975" TargetMode="External"/><Relationship Id="rId185" Type="http://schemas.openxmlformats.org/officeDocument/2006/relationships/hyperlink" Target="https://www.jstage.jst.go.jp/article/jmsj/84/6/84_6_1085/_article" TargetMode="External"/><Relationship Id="rId350" Type="http://schemas.openxmlformats.org/officeDocument/2006/relationships/hyperlink" Target="http://ieeexplore.ieee.org/xpls/abs_all.jsp?arnumber=4517079" TargetMode="External"/><Relationship Id="rId406" Type="http://schemas.openxmlformats.org/officeDocument/2006/relationships/hyperlink" Target="https://www.iea.org/bookshop/465-The_Power_of_Transformation" TargetMode="External"/><Relationship Id="rId9" Type="http://schemas.openxmlformats.org/officeDocument/2006/relationships/hyperlink" Target="http://journals.ametsoc.org/doi/abs/10.1175/2007JAMC1538.1" TargetMode="External"/><Relationship Id="rId210" Type="http://schemas.openxmlformats.org/officeDocument/2006/relationships/hyperlink" Target="http://ieeexplore.ieee.org/xpls/abs_all.jsp?arnumber=4781051&amp;tag=1" TargetMode="External"/><Relationship Id="rId392" Type="http://schemas.openxmlformats.org/officeDocument/2006/relationships/hyperlink" Target="http://iea-retd.org/archives/publications/re-integration" TargetMode="External"/><Relationship Id="rId448" Type="http://schemas.openxmlformats.org/officeDocument/2006/relationships/hyperlink" Target="https://www.sciencedirect.com/science/article/pii/S0960148114005357?via%3Dihub" TargetMode="External"/><Relationship Id="rId252" Type="http://schemas.openxmlformats.org/officeDocument/2006/relationships/hyperlink" Target="http://ceeesa.es.anl.gov/pubs/65610.pdf" TargetMode="External"/><Relationship Id="rId294" Type="http://schemas.openxmlformats.org/officeDocument/2006/relationships/hyperlink" Target="http://www.icevirtuallibrary.com/doi/full/10.1680/ener.2007.160.1.31" TargetMode="External"/><Relationship Id="rId308" Type="http://schemas.openxmlformats.org/officeDocument/2006/relationships/hyperlink" Target="http://www.sciencedirect.com/science/article/pii/S0301421513001110" TargetMode="External"/><Relationship Id="rId47" Type="http://schemas.openxmlformats.org/officeDocument/2006/relationships/hyperlink" Target="http://www.computer.org/web/csdl/index/-/csdl/mags/ex/2013/04/mex2013040043.html" TargetMode="External"/><Relationship Id="rId89" Type="http://schemas.openxmlformats.org/officeDocument/2006/relationships/hyperlink" Target="http://ams.confex.com/" TargetMode="External"/><Relationship Id="rId112" Type="http://schemas.openxmlformats.org/officeDocument/2006/relationships/hyperlink" Target="https://books.google.co.uk/books?hl=en&amp;lr=&amp;id=q3IAkdbntiwC&amp;oi=fnd&amp;pg=PR5&amp;dq=renewable+intermittency+OR+intermittent+OR+%22variable+generation%22&amp;ots=f9b7Hh4krK&amp;sig=b-3rWLLSISsp4zAvVy7P3CC9Lcw" TargetMode="External"/><Relationship Id="rId154" Type="http://schemas.openxmlformats.org/officeDocument/2006/relationships/hyperlink" Target="http://www.sciencedirect.com/science/article/pii/S0960148108003005" TargetMode="External"/><Relationship Id="rId361" Type="http://schemas.openxmlformats.org/officeDocument/2006/relationships/hyperlink" Target="http://ieeexplore.ieee.org/xpls/abs_all.jsp?arnumber=4494597" TargetMode="External"/><Relationship Id="rId196" Type="http://schemas.openxmlformats.org/officeDocument/2006/relationships/hyperlink" Target="http://www.sciencedirect.com/science/article/pii/S0378775309017303" TargetMode="External"/><Relationship Id="rId417" Type="http://schemas.openxmlformats.org/officeDocument/2006/relationships/hyperlink" Target="https://www.econstor.eu/dspace/bitstream/10419/94390/1/gws-paper12-5.pdf" TargetMode="External"/><Relationship Id="rId16" Type="http://schemas.openxmlformats.org/officeDocument/2006/relationships/hyperlink" Target="http://ieeexplore.ieee.org/xpls/abs_all.jsp?arnumber=4596546&amp;tag=1" TargetMode="External"/><Relationship Id="rId221" Type="http://schemas.openxmlformats.org/officeDocument/2006/relationships/hyperlink" Target="http://www.sciencedirect.com/science/article/pii/S0301421509002328" TargetMode="External"/><Relationship Id="rId263" Type="http://schemas.openxmlformats.org/officeDocument/2006/relationships/hyperlink" Target="http://ieeexplore.ieee.org/xpls/abs_all.jsp?arnumber=4538396" TargetMode="External"/><Relationship Id="rId319" Type="http://schemas.openxmlformats.org/officeDocument/2006/relationships/hyperlink" Target="http://ieeexplore.ieee.org/xpls/abs_all.jsp?arnumber=4207451" TargetMode="External"/><Relationship Id="rId58" Type="http://schemas.openxmlformats.org/officeDocument/2006/relationships/hyperlink" Target="http://digital-library.theiet.org/content/journals/10.1049/iet-gtd.2009.0639" TargetMode="External"/><Relationship Id="rId123" Type="http://schemas.openxmlformats.org/officeDocument/2006/relationships/hyperlink" Target="http://ieeexplore.ieee.org/xpl/articleDetails.jsp?arnumber=4596666" TargetMode="External"/><Relationship Id="rId330" Type="http://schemas.openxmlformats.org/officeDocument/2006/relationships/hyperlink" Target="http://ieeexplore.ieee.org/xpls/abs_all.jsp?arnumber=4435941&amp;tag=1" TargetMode="External"/><Relationship Id="rId165" Type="http://schemas.openxmlformats.org/officeDocument/2006/relationships/hyperlink" Target="http://ieeexplore.ieee.org/xpls/icp.jsp?arnumber=6179363" TargetMode="External"/><Relationship Id="rId372" Type="http://schemas.openxmlformats.org/officeDocument/2006/relationships/hyperlink" Target="http://www.nationalgrid.com/NR/rdonlyres/DF928C19-9210-4629-AB78-BBAA7AD8B89D/47178/Operatingin2020_finalversion0806_final.pdf" TargetMode="External"/><Relationship Id="rId428" Type="http://schemas.openxmlformats.org/officeDocument/2006/relationships/hyperlink" Target="http://thegwpf.org/images/stories/gwpf-reports/hughes-windpower.pdf" TargetMode="External"/><Relationship Id="rId232" Type="http://schemas.openxmlformats.org/officeDocument/2006/relationships/hyperlink" Target="http://escholarship.org/uc/item/2z12z7wm" TargetMode="External"/><Relationship Id="rId274" Type="http://schemas.openxmlformats.org/officeDocument/2006/relationships/hyperlink" Target="http://ieeexplore.ieee.org/xpls/abs_all.jsp?arnumber=4383127&amp;tag=1" TargetMode="External"/><Relationship Id="rId27" Type="http://schemas.openxmlformats.org/officeDocument/2006/relationships/hyperlink" Target="http://www.sciencedirect.com/science/article/pii/S0378779608000023" TargetMode="External"/><Relationship Id="rId69" Type="http://schemas.openxmlformats.org/officeDocument/2006/relationships/hyperlink" Target="http://ieeexplore.ieee.org/xpls/abs_all.jsp?arnumber=6344860" TargetMode="External"/><Relationship Id="rId134" Type="http://schemas.openxmlformats.org/officeDocument/2006/relationships/hyperlink" Target="http://ieeexplore.ieee.org/xpls/icp.jsp?arnumber=5589606" TargetMode="External"/><Relationship Id="rId80" Type="http://schemas.openxmlformats.org/officeDocument/2006/relationships/hyperlink" Target="http://ieeexplore.ieee.org/xpls/abs_all.jsp?arnumber=5619791&amp;tag=1" TargetMode="External"/><Relationship Id="rId176" Type="http://schemas.openxmlformats.org/officeDocument/2006/relationships/hyperlink" Target="http://ieeexplore.ieee.org/xpls/abs_all.jsp?arnumber=1597347" TargetMode="External"/><Relationship Id="rId341" Type="http://schemas.openxmlformats.org/officeDocument/2006/relationships/hyperlink" Target="http://www.sciencedirect.com/science/article/pii/S0973082610000566" TargetMode="External"/><Relationship Id="rId383" Type="http://schemas.openxmlformats.org/officeDocument/2006/relationships/hyperlink" Target="http://www.ewea.org/fileadmin/files/library/publications/reports/Grids_Report_2010.pdf" TargetMode="External"/><Relationship Id="rId439" Type="http://schemas.openxmlformats.org/officeDocument/2006/relationships/hyperlink" Target="https://emp.lbl.gov/sites/all/files/lbnl-5559e.pdf" TargetMode="External"/><Relationship Id="rId201" Type="http://schemas.openxmlformats.org/officeDocument/2006/relationships/hyperlink" Target="http://ieeexplore.ieee.org/xpls/abs_all.jsp?arnumber=1597329" TargetMode="External"/><Relationship Id="rId243" Type="http://schemas.openxmlformats.org/officeDocument/2006/relationships/hyperlink" Target="http://www.sciencedirect.com/science/article/pii/S0301421510005860" TargetMode="External"/><Relationship Id="rId285" Type="http://schemas.openxmlformats.org/officeDocument/2006/relationships/hyperlink" Target="http://www.sciencedirect.com/science/article/pii/S1040619008000535" TargetMode="External"/><Relationship Id="rId450" Type="http://schemas.openxmlformats.org/officeDocument/2006/relationships/hyperlink" Target="https://www.sciencedirect.com/science/article/pii/S0959652620306211?via%3Dihub" TargetMode="External"/><Relationship Id="rId38" Type="http://schemas.openxmlformats.org/officeDocument/2006/relationships/hyperlink" Target="http://ieeexplore.ieee.org/xpls/abs_all.jsp?arnumber=4811248&amp;tag=1" TargetMode="External"/><Relationship Id="rId103" Type="http://schemas.openxmlformats.org/officeDocument/2006/relationships/hyperlink" Target="http://digitalscholarship.unlv.edu/renew_pubs/5/" TargetMode="External"/><Relationship Id="rId310" Type="http://schemas.openxmlformats.org/officeDocument/2006/relationships/hyperlink" Target="http://ieeexplore.ieee.org/xpls/abs_all.jsp?arnumber=5156783&amp;tag=1" TargetMode="External"/><Relationship Id="rId91" Type="http://schemas.openxmlformats.org/officeDocument/2006/relationships/hyperlink" Target="http://ieeexplore.ieee.org/xpls/abs_all.jsp?arnumber=5411247" TargetMode="External"/><Relationship Id="rId145" Type="http://schemas.openxmlformats.org/officeDocument/2006/relationships/hyperlink" Target="http://ieeexplore.ieee.org/xpls/icp.jsp?arnumber=5211214" TargetMode="External"/><Relationship Id="rId187" Type="http://schemas.openxmlformats.org/officeDocument/2006/relationships/hyperlink" Target="http://pubsonline.informs.org/doi/abs/10.1287/opre.2013.1174" TargetMode="External"/><Relationship Id="rId352" Type="http://schemas.openxmlformats.org/officeDocument/2006/relationships/hyperlink" Target="http://www.sciencedirect.com/science/article/pii/S0301421510007615" TargetMode="External"/><Relationship Id="rId394" Type="http://schemas.openxmlformats.org/officeDocument/2006/relationships/hyperlink" Target="https://emp.lbl.gov/sites/all/files/lbnl-188167.pdf" TargetMode="External"/><Relationship Id="rId408" Type="http://schemas.openxmlformats.org/officeDocument/2006/relationships/hyperlink" Target="http://www.iesisenergy.org/lcost/LCost-Paper.pdf" TargetMode="External"/><Relationship Id="rId212" Type="http://schemas.openxmlformats.org/officeDocument/2006/relationships/hyperlink" Target="http://ieeexplore.ieee.org/xpls/abs_all.jsp?arnumber=4676896" TargetMode="External"/><Relationship Id="rId254" Type="http://schemas.openxmlformats.org/officeDocument/2006/relationships/hyperlink" Target="http://www.sciencedirect.com/science/article/pii/S096014811000354X" TargetMode="External"/><Relationship Id="rId49" Type="http://schemas.openxmlformats.org/officeDocument/2006/relationships/hyperlink" Target="http://ieeexplore.ieee.org/xpls/abs_all.jsp?arnumber=5212041" TargetMode="External"/><Relationship Id="rId114" Type="http://schemas.openxmlformats.org/officeDocument/2006/relationships/hyperlink" Target="http://www.sciencedirect.com/science/article/pii/S0360544212001351" TargetMode="External"/><Relationship Id="rId296" Type="http://schemas.openxmlformats.org/officeDocument/2006/relationships/hyperlink" Target="http://onlinelibrary.wiley.com/doi/10.1002/we.224/abstract" TargetMode="External"/><Relationship Id="rId60" Type="http://schemas.openxmlformats.org/officeDocument/2006/relationships/hyperlink" Target="http://www.sciencedirect.com/science/article/pii/S0360544210004895" TargetMode="External"/><Relationship Id="rId156" Type="http://schemas.openxmlformats.org/officeDocument/2006/relationships/hyperlink" Target="http://www.sciencedirect.com/science/article/pii/S0301421509002808" TargetMode="External"/><Relationship Id="rId198" Type="http://schemas.openxmlformats.org/officeDocument/2006/relationships/hyperlink" Target="http://ieeexplore.ieee.org/xpl/articleDetails.jsp?arnumber=6175772&amp;tag=1" TargetMode="External"/><Relationship Id="rId321" Type="http://schemas.openxmlformats.org/officeDocument/2006/relationships/hyperlink" Target="http://ieeexplore.ieee.org/xpls/abs_all.jsp?arnumber=4292192" TargetMode="External"/><Relationship Id="rId363" Type="http://schemas.openxmlformats.org/officeDocument/2006/relationships/hyperlink" Target="http://www.sciencedirect.com/science/article/pii/S0306261910005246" TargetMode="External"/><Relationship Id="rId419" Type="http://schemas.openxmlformats.org/officeDocument/2006/relationships/hyperlink" Target="http://www.nrel.gov/docs/fy13osti/57583.pdf" TargetMode="External"/><Relationship Id="rId223" Type="http://schemas.openxmlformats.org/officeDocument/2006/relationships/hyperlink" Target="http://www.sciencedirect.com/science/article/pii/S0301421510008694" TargetMode="External"/><Relationship Id="rId430" Type="http://schemas.openxmlformats.org/officeDocument/2006/relationships/hyperlink" Target="https://www.researchgate.net/profile/Mario_Ragwitz/publication/229049516_Strategies_for_an_efficient_integration_of_wind_power_considering_demand_response/links/00463525bd3011fc45000000.pdf" TargetMode="External"/><Relationship Id="rId18" Type="http://schemas.openxmlformats.org/officeDocument/2006/relationships/hyperlink" Target="http://link.springer.com/article/10.1007/s12076-009-0031-y" TargetMode="External"/><Relationship Id="rId265" Type="http://schemas.openxmlformats.org/officeDocument/2006/relationships/hyperlink" Target="http://www.sciencedirect.com/science/article/pii/S0301421510001990" TargetMode="External"/><Relationship Id="rId50" Type="http://schemas.openxmlformats.org/officeDocument/2006/relationships/hyperlink" Target="http://www.sciencedirect.com/science/article/pii/S0378779606001921" TargetMode="External"/><Relationship Id="rId104" Type="http://schemas.openxmlformats.org/officeDocument/2006/relationships/hyperlink" Target="http://www.sciencedirect.com/science/article/pii/S0301421511000292" TargetMode="External"/><Relationship Id="rId125" Type="http://schemas.openxmlformats.org/officeDocument/2006/relationships/hyperlink" Target="http://ieeexplore.ieee.org/xpls/icp.jsp?arnumber=4637912" TargetMode="External"/><Relationship Id="rId146" Type="http://schemas.openxmlformats.org/officeDocument/2006/relationships/hyperlink" Target="http://www.sciencedirect.com/science/article/pii/S0960148110002004" TargetMode="External"/><Relationship Id="rId167" Type="http://schemas.openxmlformats.org/officeDocument/2006/relationships/hyperlink" Target="http://www.sciencedirect.com/science/article/pii/S0360544206001605" TargetMode="External"/><Relationship Id="rId188" Type="http://schemas.openxmlformats.org/officeDocument/2006/relationships/hyperlink" Target="http://www.sciencedirect.com/science/article/pii/S0888327010004310" TargetMode="External"/><Relationship Id="rId311" Type="http://schemas.openxmlformats.org/officeDocument/2006/relationships/hyperlink" Target="https://www.aeaweb.org/articles.php?doi=10.1257/pol.5.4.107" TargetMode="External"/><Relationship Id="rId332" Type="http://schemas.openxmlformats.org/officeDocument/2006/relationships/hyperlink" Target="http://ieeexplore.ieee.org/xpls/abs_all.jsp?arnumber=4076057" TargetMode="External"/><Relationship Id="rId353" Type="http://schemas.openxmlformats.org/officeDocument/2006/relationships/hyperlink" Target="http://ieeexplore.ieee.org/xpls/abs_all.jsp?arnumber=5559317&amp;tag=1" TargetMode="External"/><Relationship Id="rId374" Type="http://schemas.openxmlformats.org/officeDocument/2006/relationships/hyperlink" Target="https://www.oecd-nea.org/ndd/pubs/2012/7056-system-effects.pdf" TargetMode="External"/><Relationship Id="rId395" Type="http://schemas.openxmlformats.org/officeDocument/2006/relationships/hyperlink" Target="http://www.demandenergyequality.org/2030-energy-scenario.html" TargetMode="External"/><Relationship Id="rId409" Type="http://schemas.openxmlformats.org/officeDocument/2006/relationships/hyperlink" Target="http://www.nrel.gov/docs/fy06osti/39955.pdf" TargetMode="External"/><Relationship Id="rId71" Type="http://schemas.openxmlformats.org/officeDocument/2006/relationships/hyperlink" Target="http://www.sciencedirect.com/science/article/pii/S0301421508004072" TargetMode="External"/><Relationship Id="rId92" Type="http://schemas.openxmlformats.org/officeDocument/2006/relationships/hyperlink" Target="http://uapv.physics.arizona.edu/Publications/Submitted/NewRatio.pdf" TargetMode="External"/><Relationship Id="rId213" Type="http://schemas.openxmlformats.org/officeDocument/2006/relationships/hyperlink" Target="https://books.google.co.uk/books?hl=en&amp;lr=&amp;id=RYRfCJNm6LcC&amp;oi=fnd&amp;pg=PA1&amp;dq=Grid++wind+OR+solar+OR+storage&amp;ots=t2xJST6S9Q&amp;sig=ZobJF56tPW4JAI-GvJnEreWvlOE" TargetMode="External"/><Relationship Id="rId234" Type="http://schemas.openxmlformats.org/officeDocument/2006/relationships/hyperlink" Target="http://ieeexplore.ieee.org/xpls/abs_all.jsp?arnumber=6123185" TargetMode="External"/><Relationship Id="rId420" Type="http://schemas.openxmlformats.org/officeDocument/2006/relationships/hyperlink" Target="https://www.researchgate.net/profile/Eduardo_Ibanez/publication/273000140_The_Western_Wind_and_Solar_Integration_Study_Phase_2/links/54f485ab0cf2ba6150634872.pdf" TargetMode="External"/><Relationship Id="rId2" Type="http://schemas.openxmlformats.org/officeDocument/2006/relationships/hyperlink" Target="http://ieeexplore.ieee.org/xpls/abs_all.jsp?arnumber=4721662&amp;tag=1" TargetMode="External"/><Relationship Id="rId29" Type="http://schemas.openxmlformats.org/officeDocument/2006/relationships/hyperlink" Target="http://ieeexplore.ieee.org/xpls/abs_all.jsp?arnumber=6007040&amp;tag=1" TargetMode="External"/><Relationship Id="rId255" Type="http://schemas.openxmlformats.org/officeDocument/2006/relationships/hyperlink" Target="http://ieeexplore.ieee.org/xpls/abs_all.jsp?arnumber=5540332&amp;tag=1" TargetMode="External"/><Relationship Id="rId276" Type="http://schemas.openxmlformats.org/officeDocument/2006/relationships/hyperlink" Target="http://www.sciencedirect.com/science/article/pii/S0960148111003594" TargetMode="External"/><Relationship Id="rId297" Type="http://schemas.openxmlformats.org/officeDocument/2006/relationships/hyperlink" Target="http://www.sciencedirect.com/science/article/pii/S0301421510002740" TargetMode="External"/><Relationship Id="rId441" Type="http://schemas.openxmlformats.org/officeDocument/2006/relationships/hyperlink" Target="http://webarchive.nationalarchives.gov.uk/+/http:/www.berr.gov.uk/files/file46778.pdf" TargetMode="External"/><Relationship Id="rId40" Type="http://schemas.openxmlformats.org/officeDocument/2006/relationships/hyperlink" Target="http://www.sciencedirect.com/science/article/pii/S1364032112002894" TargetMode="External"/><Relationship Id="rId115" Type="http://schemas.openxmlformats.org/officeDocument/2006/relationships/hyperlink" Target="http://pubs.acs.org/doi/abs/10.1021/es204645c" TargetMode="External"/><Relationship Id="rId136" Type="http://schemas.openxmlformats.org/officeDocument/2006/relationships/hyperlink" Target="http://ieeexplore.ieee.org/xpls/icp.jsp?arnumber=4523872" TargetMode="External"/><Relationship Id="rId157" Type="http://schemas.openxmlformats.org/officeDocument/2006/relationships/hyperlink" Target="http://iopscience.iop.org/article/10.1088/1748-9326/3/2/025001/meta;jsessionid=DC012594A0EF127EB2B5E191941E6C8A.c1" TargetMode="External"/><Relationship Id="rId178" Type="http://schemas.openxmlformats.org/officeDocument/2006/relationships/hyperlink" Target="http://ieeexplore.ieee.org/xpls/abs_all.jsp?arnumber=4517099&amp;tag=1" TargetMode="External"/><Relationship Id="rId301" Type="http://schemas.openxmlformats.org/officeDocument/2006/relationships/hyperlink" Target="http://ieeexplore.ieee.org/xpls/icp.jsp?arnumber=6266722" TargetMode="External"/><Relationship Id="rId322" Type="http://schemas.openxmlformats.org/officeDocument/2006/relationships/hyperlink" Target="http://ieeexplore.ieee.org/xpls/abs_all.jsp?arnumber=5666151" TargetMode="External"/><Relationship Id="rId343" Type="http://schemas.openxmlformats.org/officeDocument/2006/relationships/hyperlink" Target="http://ieeexplore.ieee.org/xpls/abs_all.jsp?arnumber=5929570&amp;tag=1" TargetMode="External"/><Relationship Id="rId364" Type="http://schemas.openxmlformats.org/officeDocument/2006/relationships/hyperlink" Target="https://www.gov.uk/government/uploads/system/uploads/attachment_data/file/48553/5767-understanding-the-balancing-challenge.pdf" TargetMode="External"/><Relationship Id="rId61" Type="http://schemas.openxmlformats.org/officeDocument/2006/relationships/hyperlink" Target="http://www.sciencedirect.com/science/article/pii/S0140988307000205" TargetMode="External"/><Relationship Id="rId82" Type="http://schemas.openxmlformats.org/officeDocument/2006/relationships/hyperlink" Target="http://www.sciencedirect.com/science/article/pii/S036031990600615X" TargetMode="External"/><Relationship Id="rId199" Type="http://schemas.openxmlformats.org/officeDocument/2006/relationships/hyperlink" Target="http://ieeexplore.ieee.org/xpls/abs_all.jsp?arnumber=4105992" TargetMode="External"/><Relationship Id="rId203" Type="http://schemas.openxmlformats.org/officeDocument/2006/relationships/hyperlink" Target="http://pubs.acs.org/doi/full/10.1021/cr100290v" TargetMode="External"/><Relationship Id="rId385" Type="http://schemas.openxmlformats.org/officeDocument/2006/relationships/hyperlink" Target="https://www.nationalgridus.com/non_html/c3-3_NG_wind_policy.pdf" TargetMode="External"/><Relationship Id="rId19" Type="http://schemas.openxmlformats.org/officeDocument/2006/relationships/hyperlink" Target="http://ieeexplore.ieee.org/xpls/abs_all.jsp?arnumber=4106018" TargetMode="External"/><Relationship Id="rId224" Type="http://schemas.openxmlformats.org/officeDocument/2006/relationships/hyperlink" Target="http://ieeexplore.ieee.org/stamp/stamp.jsp?tp=&amp;arnumber=4282054" TargetMode="External"/><Relationship Id="rId245" Type="http://schemas.openxmlformats.org/officeDocument/2006/relationships/hyperlink" Target="http://ieeexplore.ieee.org/xpls/abs_all.jsp?arnumber=5979167" TargetMode="External"/><Relationship Id="rId266" Type="http://schemas.openxmlformats.org/officeDocument/2006/relationships/hyperlink" Target="http://ieeexplore.ieee.org/xpls/abs_all.jsp?arnumber=5993878" TargetMode="External"/><Relationship Id="rId287" Type="http://schemas.openxmlformats.org/officeDocument/2006/relationships/hyperlink" Target="http://www.sciencedirect.com/science/article/pii/S0360544214002680" TargetMode="External"/><Relationship Id="rId410" Type="http://schemas.openxmlformats.org/officeDocument/2006/relationships/hyperlink" Target="http://srren.ipcc-wg3.de/report/IPCC_SRREN_Ch08.pdf" TargetMode="External"/><Relationship Id="rId431" Type="http://schemas.openxmlformats.org/officeDocument/2006/relationships/hyperlink" Target="http://escholarship.org/uc/item/9mz3w055" TargetMode="External"/><Relationship Id="rId30" Type="http://schemas.openxmlformats.org/officeDocument/2006/relationships/hyperlink" Target="http://www.sciencedirect.com/science/article/pii/S0301421509002237" TargetMode="External"/><Relationship Id="rId105" Type="http://schemas.openxmlformats.org/officeDocument/2006/relationships/hyperlink" Target="http://ieeexplore.ieee.org/xpls/icp.jsp?arnumber=4738387" TargetMode="External"/><Relationship Id="rId126" Type="http://schemas.openxmlformats.org/officeDocument/2006/relationships/hyperlink" Target="http://iopscience.iop.org/article/10.1088/1748-9326/3/1/015003/meta" TargetMode="External"/><Relationship Id="rId147" Type="http://schemas.openxmlformats.org/officeDocument/2006/relationships/hyperlink" Target="http://www.sciencedirect.com/science/article/pii/S0301421510001850" TargetMode="External"/><Relationship Id="rId168" Type="http://schemas.openxmlformats.org/officeDocument/2006/relationships/hyperlink" Target="http://www.sciencedirect.com/science/article/pii/S0301421509005515" TargetMode="External"/><Relationship Id="rId312" Type="http://schemas.openxmlformats.org/officeDocument/2006/relationships/hyperlink" Target="http://www.sciencedirect.com/science/article/pii/S0360544213003423" TargetMode="External"/><Relationship Id="rId333" Type="http://schemas.openxmlformats.org/officeDocument/2006/relationships/hyperlink" Target="http://ieeexplore.ieee.org/xpls/abs_all.jsp?arnumber=4579075&amp;tag=1" TargetMode="External"/><Relationship Id="rId354" Type="http://schemas.openxmlformats.org/officeDocument/2006/relationships/hyperlink" Target="http://escholarship.org/uc/item/2g7677hn" TargetMode="External"/><Relationship Id="rId51" Type="http://schemas.openxmlformats.org/officeDocument/2006/relationships/hyperlink" Target="http://ieeexplore.ieee.org/xpls/abs_all.jsp?arnumber=5399955" TargetMode="External"/><Relationship Id="rId72" Type="http://schemas.openxmlformats.org/officeDocument/2006/relationships/hyperlink" Target="http://www.nature.com/nature/journal/v462/n7273/full/462568a.html" TargetMode="External"/><Relationship Id="rId93" Type="http://schemas.openxmlformats.org/officeDocument/2006/relationships/hyperlink" Target="https://books.google.co.uk/books?hl=en&amp;lr=&amp;id=eh7H-9cz-IoC&amp;oi=fnd&amp;pg=PP1&amp;dq=solar+intermittency+OR+intermittent+OR+%22variable+generation%22&amp;ots=wi24gje9Et&amp;sig=69IbkTgkm-uDGcU4vaaNW4pGutg" TargetMode="External"/><Relationship Id="rId189" Type="http://schemas.openxmlformats.org/officeDocument/2006/relationships/hyperlink" Target="http://ieeexplore.ieee.org/xpls/abs_all.jsp?arnumber=5713273&amp;tag=1" TargetMode="External"/><Relationship Id="rId375" Type="http://schemas.openxmlformats.org/officeDocument/2006/relationships/hyperlink" Target="https://www.ofgem.gov.uk/publications-and-updates/brattle-report-alternative-trading-arrangements-intermittent-renewable-power" TargetMode="External"/><Relationship Id="rId396" Type="http://schemas.openxmlformats.org/officeDocument/2006/relationships/hyperlink" Target="http://www.pvparity.eu/fileadmin/PVPARITY_docs/public/PV_PARITY_D44_Grid_integration_cost_of_PV_-_Final_300913.pdf" TargetMode="External"/><Relationship Id="rId3" Type="http://schemas.openxmlformats.org/officeDocument/2006/relationships/hyperlink" Target="http://www.sciencedirect.com/science/article/pii/S0360544206000776" TargetMode="External"/><Relationship Id="rId214" Type="http://schemas.openxmlformats.org/officeDocument/2006/relationships/hyperlink" Target="http://ieeexplore.ieee.org/xpls/abs_all.jsp?arnumber=4778165" TargetMode="External"/><Relationship Id="rId235" Type="http://schemas.openxmlformats.org/officeDocument/2006/relationships/hyperlink" Target="http://ieeexplore.ieee.org/xpls/abs_all.jsp?arnumber=6151207" TargetMode="External"/><Relationship Id="rId256" Type="http://schemas.openxmlformats.org/officeDocument/2006/relationships/hyperlink" Target="http://en.cnki.com.cn/Article_en/CJFDTOTAL-JDQW201212019.htm" TargetMode="External"/><Relationship Id="rId277" Type="http://schemas.openxmlformats.org/officeDocument/2006/relationships/hyperlink" Target="http://www.sciencedirect.com/science/article/pii/S0360544205001015" TargetMode="External"/><Relationship Id="rId298" Type="http://schemas.openxmlformats.org/officeDocument/2006/relationships/hyperlink" Target="http://ieeexplore.ieee.org/xpls/icp.jsp?arnumber=5589272" TargetMode="External"/><Relationship Id="rId400" Type="http://schemas.openxmlformats.org/officeDocument/2006/relationships/hyperlink" Target="http://www.roadmap2050.eu/attachments/files/PowerPerspectives2030_FullReport.pdf" TargetMode="External"/><Relationship Id="rId421" Type="http://schemas.openxmlformats.org/officeDocument/2006/relationships/hyperlink" Target="http://www.eirgrid.com/renewables/all-islandgridstudy/" TargetMode="External"/><Relationship Id="rId442" Type="http://schemas.openxmlformats.org/officeDocument/2006/relationships/hyperlink" Target="http://www.nrel.gov/docs/fy14osti/60574.pdf" TargetMode="External"/><Relationship Id="rId116" Type="http://schemas.openxmlformats.org/officeDocument/2006/relationships/hyperlink" Target="http://www.oecd-ilibrary.org/content/workingpaper/5k46j0trlrnn-en" TargetMode="External"/><Relationship Id="rId137" Type="http://schemas.openxmlformats.org/officeDocument/2006/relationships/hyperlink" Target="http://www.sciencedirect.com/science/article/pii/S0378779606001593" TargetMode="External"/><Relationship Id="rId158" Type="http://schemas.openxmlformats.org/officeDocument/2006/relationships/hyperlink" Target="http://ieeexplore.ieee.org/xpls/abs_all.jsp?arnumber=6584916&amp;tag=1" TargetMode="External"/><Relationship Id="rId302" Type="http://schemas.openxmlformats.org/officeDocument/2006/relationships/hyperlink" Target="http://escholarship.org/uc/item/3ws6r3j4" TargetMode="External"/><Relationship Id="rId323" Type="http://schemas.openxmlformats.org/officeDocument/2006/relationships/hyperlink" Target="http://ieeexplore.ieee.org/xpls/abs_all.jsp?arnumber=6316361&amp;tag=1" TargetMode="External"/><Relationship Id="rId344" Type="http://schemas.openxmlformats.org/officeDocument/2006/relationships/hyperlink" Target="http://ieeexplore.ieee.org/xpls/abs_all.jsp?arnumber=5625935" TargetMode="External"/><Relationship Id="rId20" Type="http://schemas.openxmlformats.org/officeDocument/2006/relationships/hyperlink" Target="http://www.sciencedirect.com/science/article/pii/S0960148105001771" TargetMode="External"/><Relationship Id="rId41" Type="http://schemas.openxmlformats.org/officeDocument/2006/relationships/hyperlink" Target="http://www.sciencedirect.com/science/article/pii/S0378775307005381" TargetMode="External"/><Relationship Id="rId62" Type="http://schemas.openxmlformats.org/officeDocument/2006/relationships/hyperlink" Target="http://www.researchgate.net/profile/Alois_Schaffarczyk/publication/220031791_Simulation_of_intermittent_wind_fields_A_new_approach/links/0c9605322acb445b28000000.pdf" TargetMode="External"/><Relationship Id="rId83" Type="http://schemas.openxmlformats.org/officeDocument/2006/relationships/hyperlink" Target="http://www.sciencemag.org/content/329/5993/773.short" TargetMode="External"/><Relationship Id="rId179" Type="http://schemas.openxmlformats.org/officeDocument/2006/relationships/hyperlink" Target="http://en.cnki.com.cn/Article_en/CJFDTOTAL-ZGDC200816011.htm" TargetMode="External"/><Relationship Id="rId365" Type="http://schemas.openxmlformats.org/officeDocument/2006/relationships/hyperlink" Target="http://www.google.de/url?sa=t&amp;rct=j&amp;q=&amp;esrc=s&amp;source=web&amp;cd=3&amp;ved=0CC8QFjACahUKEwib18CwkdHIAhWHsxQKHSBEBZk&amp;url=http%3A%2F%2Fresearchbriefings.files.parliament.uk%2Fdocuments%2FPOST-PN-464%2FPOST-PN-464.pdf&amp;usg=AFQjCNE22Jnw3zXh0gEwlaC09_QU0LOdig" TargetMode="External"/><Relationship Id="rId386" Type="http://schemas.openxmlformats.org/officeDocument/2006/relationships/hyperlink" Target="http://www.adamsmith.org/wp-content/uploads/2014/10/Assessment7.pdf" TargetMode="External"/><Relationship Id="rId190" Type="http://schemas.openxmlformats.org/officeDocument/2006/relationships/hyperlink" Target="http://ieeexplore.ieee.org/xpls/abs_all.jsp?arnumber=6290374" TargetMode="External"/><Relationship Id="rId204" Type="http://schemas.openxmlformats.org/officeDocument/2006/relationships/hyperlink" Target="http://ieeexplore.ieee.org/xpls/abs_all.jsp?arnumber=1709340" TargetMode="External"/><Relationship Id="rId225" Type="http://schemas.openxmlformats.org/officeDocument/2006/relationships/hyperlink" Target="http://ieeexplore.ieee.org/xpls/abs_all.jsp?arnumber=4275728" TargetMode="External"/><Relationship Id="rId246" Type="http://schemas.openxmlformats.org/officeDocument/2006/relationships/hyperlink" Target="http://ieeexplore.ieee.org/xpls/abs_all.jsp?arnumber=4202376" TargetMode="External"/><Relationship Id="rId267" Type="http://schemas.openxmlformats.org/officeDocument/2006/relationships/hyperlink" Target="http://www.sciencedirect.com/science/article/pii/S030142151000594X" TargetMode="External"/><Relationship Id="rId288" Type="http://schemas.openxmlformats.org/officeDocument/2006/relationships/hyperlink" Target="http://papers.ssrn.com/soL3/papers.cfm?abstract_id=1137282" TargetMode="External"/><Relationship Id="rId411" Type="http://schemas.openxmlformats.org/officeDocument/2006/relationships/hyperlink" Target="ftp://ftp.ecn.nl/pub/www/library/report/2014/e14022.pdf" TargetMode="External"/><Relationship Id="rId432" Type="http://schemas.openxmlformats.org/officeDocument/2006/relationships/hyperlink" Target="http://www.scottish.parliament.uk/S4_EconomyEnergyandTourismCommittee/NATIONAL_GRID.pdf" TargetMode="External"/><Relationship Id="rId106" Type="http://schemas.openxmlformats.org/officeDocument/2006/relationships/hyperlink" Target="http://www.sciencedirect.com/science/article/pii/S0301421511004964" TargetMode="External"/><Relationship Id="rId127" Type="http://schemas.openxmlformats.org/officeDocument/2006/relationships/hyperlink" Target="http://ieeexplore.ieee.org/xpls/icp.jsp?arnumber=5565546" TargetMode="External"/><Relationship Id="rId313" Type="http://schemas.openxmlformats.org/officeDocument/2006/relationships/hyperlink" Target="http://onlinelibrary.wiley.com/doi/10.1002/etep.430/full" TargetMode="External"/><Relationship Id="rId10" Type="http://schemas.openxmlformats.org/officeDocument/2006/relationships/hyperlink" Target="http://www.langtoninfo.com/web_content/9780521762380_frontmatter.pdf" TargetMode="External"/><Relationship Id="rId31" Type="http://schemas.openxmlformats.org/officeDocument/2006/relationships/hyperlink" Target="http://www.sciencedirect.com/science/article/pii/S0301421509005552" TargetMode="External"/><Relationship Id="rId52" Type="http://schemas.openxmlformats.org/officeDocument/2006/relationships/hyperlink" Target="http://www.sciencedirect.com/science/article/pii/S0301421509005461" TargetMode="External"/><Relationship Id="rId73" Type="http://schemas.openxmlformats.org/officeDocument/2006/relationships/hyperlink" Target="http://www.sciencedirect.com/science/article/pii/S0301421506003740" TargetMode="External"/><Relationship Id="rId94" Type="http://schemas.openxmlformats.org/officeDocument/2006/relationships/hyperlink" Target="http://ieeexplore.ieee.org/xpls/abs_all.jsp?arnumber=4548025&amp;tag=1" TargetMode="External"/><Relationship Id="rId148" Type="http://schemas.openxmlformats.org/officeDocument/2006/relationships/hyperlink" Target="http://ieeexplore.ieee.org/xpls/icp.jsp?arnumber=5607275" TargetMode="External"/><Relationship Id="rId169" Type="http://schemas.openxmlformats.org/officeDocument/2006/relationships/hyperlink" Target="http://www.nrel.gov/docs/fy11osti/50814.pdf" TargetMode="External"/><Relationship Id="rId334" Type="http://schemas.openxmlformats.org/officeDocument/2006/relationships/hyperlink" Target="http://www.sciencedirect.com/science/article/pii/S0960148108001535" TargetMode="External"/><Relationship Id="rId355" Type="http://schemas.openxmlformats.org/officeDocument/2006/relationships/hyperlink" Target="http://www.sciencedirect.com/science/article/pii/S0360544213009390" TargetMode="External"/><Relationship Id="rId376" Type="http://schemas.openxmlformats.org/officeDocument/2006/relationships/hyperlink" Target="http://www.cps.org.uk/files/reports/original/150313101309-HowrenewablesubsidiesdestroyedtheUKelectricitymarket1.pdf" TargetMode="External"/><Relationship Id="rId397" Type="http://schemas.openxmlformats.org/officeDocument/2006/relationships/hyperlink" Target="http://www.brookings.edu/~/media/research/files/papers/2014/05/19%20low%20carbon%20future%20wind%20solar%20power%20frank/net%20benefits%20final.pdf" TargetMode="External"/><Relationship Id="rId4" Type="http://schemas.openxmlformats.org/officeDocument/2006/relationships/hyperlink" Target="http://ieeexplore.ieee.org/xpls/abs_all.jsp?arnumber=4202207&amp;tag=1" TargetMode="External"/><Relationship Id="rId180" Type="http://schemas.openxmlformats.org/officeDocument/2006/relationships/hyperlink" Target="http://en.cnki.com.cn/Article_en/CJFDTOTAL-DWJS200621012.htm" TargetMode="External"/><Relationship Id="rId215" Type="http://schemas.openxmlformats.org/officeDocument/2006/relationships/hyperlink" Target="https://books.google.co.uk/books?hl=en&amp;lr=&amp;id=3Uv5PEJYwvMC&amp;oi=fnd&amp;pg=PA8&amp;dq=Grid++wind+OR+solar+OR+storage&amp;ots=kQktdkZeGd&amp;sig=dqD-MFyhNK_L1CNlEXbyuvd3lQ0" TargetMode="External"/><Relationship Id="rId236" Type="http://schemas.openxmlformats.org/officeDocument/2006/relationships/hyperlink" Target="http://digital-library.theiet.org/content/journals/10.1049/iet-rpg_20060020" TargetMode="External"/><Relationship Id="rId257" Type="http://schemas.openxmlformats.org/officeDocument/2006/relationships/hyperlink" Target="http://www.sciencedirect.com/science/article/pii/S0960148113000384" TargetMode="External"/><Relationship Id="rId278" Type="http://schemas.openxmlformats.org/officeDocument/2006/relationships/hyperlink" Target="http://ieeexplore.ieee.org/xpls/abs_all.jsp?arnumber=5383264&amp;tag=1" TargetMode="External"/><Relationship Id="rId401" Type="http://schemas.openxmlformats.org/officeDocument/2006/relationships/hyperlink" Target="http://www.ewea.org/fileadmin/files/library/publications/reports/REserviceS.pdf" TargetMode="External"/><Relationship Id="rId422" Type="http://schemas.openxmlformats.org/officeDocument/2006/relationships/hyperlink" Target="http://www.eirgrid.com/renewables/facilitationofrenewables/" TargetMode="External"/><Relationship Id="rId443" Type="http://schemas.openxmlformats.org/officeDocument/2006/relationships/hyperlink" Target="http://www.nrel.gov/docs/fy14osti/61765.pdf" TargetMode="External"/><Relationship Id="rId303" Type="http://schemas.openxmlformats.org/officeDocument/2006/relationships/hyperlink" Target="http://www.sciencedirect.com/science/article/pii/S0140988310001118" TargetMode="External"/><Relationship Id="rId42" Type="http://schemas.openxmlformats.org/officeDocument/2006/relationships/hyperlink" Target="http://ieeexplore.ieee.org/xpls/abs_all.jsp?arnumber=6158621" TargetMode="External"/><Relationship Id="rId84" Type="http://schemas.openxmlformats.org/officeDocument/2006/relationships/hyperlink" Target="http://ieeexplore.ieee.org/xpls/abs_all.jsp?arnumber=6198748&amp;tag=1" TargetMode="External"/><Relationship Id="rId138" Type="http://schemas.openxmlformats.org/officeDocument/2006/relationships/hyperlink" Target="http://ieeexplore.ieee.org/xpls/icp.jsp?arnumber=5549975" TargetMode="External"/><Relationship Id="rId345" Type="http://schemas.openxmlformats.org/officeDocument/2006/relationships/hyperlink" Target="http://ieeexplore.ieee.org/xpls/abs_all.jsp?arnumber=4596307" TargetMode="External"/><Relationship Id="rId387" Type="http://schemas.openxmlformats.org/officeDocument/2006/relationships/hyperlink" Target="http://www.nrel.gov/docs/fy13osti/60245.pdf" TargetMode="External"/><Relationship Id="rId191" Type="http://schemas.openxmlformats.org/officeDocument/2006/relationships/hyperlink" Target="http://ieeexplore.ieee.org/stamp/stamp.jsp?tp=&amp;arnumber=5982088" TargetMode="External"/><Relationship Id="rId205" Type="http://schemas.openxmlformats.org/officeDocument/2006/relationships/hyperlink" Target="http://ieeexplore.ieee.org/xpls/abs_all.jsp?arnumber=5582228" TargetMode="External"/><Relationship Id="rId247" Type="http://schemas.openxmlformats.org/officeDocument/2006/relationships/hyperlink" Target="http://ieeexplore.ieee.org/xpls/abs_all.jsp?arnumber=4808228" TargetMode="External"/><Relationship Id="rId412" Type="http://schemas.openxmlformats.org/officeDocument/2006/relationships/hyperlink" Target="http://www.sciencedirect.com/science/article/pii/S0960148112003990" TargetMode="External"/><Relationship Id="rId107" Type="http://schemas.openxmlformats.org/officeDocument/2006/relationships/hyperlink" Target="http://www.sciencedirect.com/science/article/pii/S0960148112004818" TargetMode="External"/><Relationship Id="rId289" Type="http://schemas.openxmlformats.org/officeDocument/2006/relationships/hyperlink" Target="http://ieeexplore.ieee.org/xpls/abs_all.jsp?arnumber=6254790" TargetMode="External"/><Relationship Id="rId11" Type="http://schemas.openxmlformats.org/officeDocument/2006/relationships/hyperlink" Target="http://www.sciencedirect.com/science/article/pii/S0360544206002544" TargetMode="External"/><Relationship Id="rId53" Type="http://schemas.openxmlformats.org/officeDocument/2006/relationships/hyperlink" Target="http://ieeexplore.ieee.org/xpls/abs_all.jsp?arnumber=5207190" TargetMode="External"/><Relationship Id="rId149" Type="http://schemas.openxmlformats.org/officeDocument/2006/relationships/hyperlink" Target="http://ieeexplore.ieee.org/xpls/icp.jsp?arnumber=4814473" TargetMode="External"/><Relationship Id="rId314" Type="http://schemas.openxmlformats.org/officeDocument/2006/relationships/hyperlink" Target="http://papers.ssrn.com/sol3/papers.cfm?abstract_id=1894750" TargetMode="External"/><Relationship Id="rId356" Type="http://schemas.openxmlformats.org/officeDocument/2006/relationships/hyperlink" Target="http://www.sciencedirect.com/science/article/pii/S0960148107003631" TargetMode="External"/><Relationship Id="rId398" Type="http://schemas.openxmlformats.org/officeDocument/2006/relationships/hyperlink" Target="http://www.uwig.org/variable2012.pdf" TargetMode="External"/><Relationship Id="rId95" Type="http://schemas.openxmlformats.org/officeDocument/2006/relationships/hyperlink" Target="http://www.researchgate.net/profile/Brendan_Kirby/publication/228892998_Utilizing_Load_Response_for_Wind_and_Solar_Integration_and_Power_System_Reliability/links/02e7e530dd01633cd1000000.pdf" TargetMode="External"/><Relationship Id="rId160" Type="http://schemas.openxmlformats.org/officeDocument/2006/relationships/hyperlink" Target="http://ieeexplore.ieee.org/xpls/icp.jsp?arnumber=5401064" TargetMode="External"/><Relationship Id="rId216" Type="http://schemas.openxmlformats.org/officeDocument/2006/relationships/hyperlink" Target="http://ieeexplore.ieee.org/xpls/abs_all.jsp?arnumber=5661888&amp;tag=1" TargetMode="External"/><Relationship Id="rId423" Type="http://schemas.openxmlformats.org/officeDocument/2006/relationships/hyperlink" Target="http://www.sciencedirect.com/science/article/pii/S0360544212008857" TargetMode="External"/><Relationship Id="rId258" Type="http://schemas.openxmlformats.org/officeDocument/2006/relationships/hyperlink" Target="http://ieeexplore.ieee.org/stamp/stamp.jsp?tp=&amp;arnumber=5649306" TargetMode="External"/><Relationship Id="rId22" Type="http://schemas.openxmlformats.org/officeDocument/2006/relationships/hyperlink" Target="http://ieeexplore.ieee.org/xpls/abs_all.jsp?arnumber=6141132" TargetMode="External"/><Relationship Id="rId64" Type="http://schemas.openxmlformats.org/officeDocument/2006/relationships/hyperlink" Target="http://www.sciencedirect.com/science/article/pii/S0301421508002942" TargetMode="External"/><Relationship Id="rId118" Type="http://schemas.openxmlformats.org/officeDocument/2006/relationships/hyperlink" Target="http://www.sciencedirect.com/science/article/pii/S1364032114000987" TargetMode="External"/><Relationship Id="rId325" Type="http://schemas.openxmlformats.org/officeDocument/2006/relationships/hyperlink" Target="http://www.sciencedirect.com/science/article/pii/S0960148106002229" TargetMode="External"/><Relationship Id="rId367" Type="http://schemas.openxmlformats.org/officeDocument/2006/relationships/hyperlink" Target="http://www2.nationalgrid.com/UK/Industry-information/Future-of-Energy/Electricity-Ten-Year-Statement/" TargetMode="External"/><Relationship Id="rId171" Type="http://schemas.openxmlformats.org/officeDocument/2006/relationships/hyperlink" Target="http://ieeexplore.ieee.org/xpls/icp.jsp?arnumber=4202221" TargetMode="External"/><Relationship Id="rId227" Type="http://schemas.openxmlformats.org/officeDocument/2006/relationships/hyperlink" Target="http://ieeexplore.ieee.org/xpls/abs_all.jsp?arnumber=5275377&amp;tag=1" TargetMode="External"/><Relationship Id="rId269" Type="http://schemas.openxmlformats.org/officeDocument/2006/relationships/hyperlink" Target="http://ieeexplore.ieee.org/xpls/abs_all.jsp?arnumber=6261570" TargetMode="External"/><Relationship Id="rId434" Type="http://schemas.openxmlformats.org/officeDocument/2006/relationships/hyperlink" Target="http://archive.theccc.org.uk/aws/Renewables%20Review/232_Report_Analysing%20the%20technical%20constraints%20on%20renewable%20generation_v8_0.pdf" TargetMode="External"/><Relationship Id="rId33" Type="http://schemas.openxmlformats.org/officeDocument/2006/relationships/hyperlink" Target="http://www.sciencedirect.com/science/article/pii/S0306261910000838" TargetMode="External"/><Relationship Id="rId129" Type="http://schemas.openxmlformats.org/officeDocument/2006/relationships/hyperlink" Target="http://ieeexplore.ieee.org/xpls/icp.jsp?arnumber=4233084" TargetMode="External"/><Relationship Id="rId280" Type="http://schemas.openxmlformats.org/officeDocument/2006/relationships/hyperlink" Target="http://www.nrel.gov/docs/fy11osti/49019.pdf" TargetMode="External"/><Relationship Id="rId336" Type="http://schemas.openxmlformats.org/officeDocument/2006/relationships/hyperlink" Target="http://www.smartgridinformation.info/pdf/5517_doc_1.pdf" TargetMode="External"/><Relationship Id="rId75" Type="http://schemas.openxmlformats.org/officeDocument/2006/relationships/hyperlink" Target="http://www.sciencedirect.com/science/article/pii/S0009250911008657" TargetMode="External"/><Relationship Id="rId140" Type="http://schemas.openxmlformats.org/officeDocument/2006/relationships/hyperlink" Target="http://ieeexplore.ieee.org/xpls/icp.jsp?arnumber=5275839" TargetMode="External"/><Relationship Id="rId182" Type="http://schemas.openxmlformats.org/officeDocument/2006/relationships/hyperlink" Target="http://www.sciencedirect.com/science/article/pii/S0950705111000852" TargetMode="External"/><Relationship Id="rId378" Type="http://schemas.openxmlformats.org/officeDocument/2006/relationships/hyperlink" Target="https://www.ieawind.org/annual_reports_PDF/2009/2009AR_92210.pdf" TargetMode="External"/><Relationship Id="rId403" Type="http://schemas.openxmlformats.org/officeDocument/2006/relationships/hyperlink" Target="http://www.nrel.gov/docs/fy13osti/52409-ES.pdf" TargetMode="External"/><Relationship Id="rId6" Type="http://schemas.openxmlformats.org/officeDocument/2006/relationships/hyperlink" Target="http://www.sciencedirect.com/science/article/pii/S0301421504001740" TargetMode="External"/><Relationship Id="rId238" Type="http://schemas.openxmlformats.org/officeDocument/2006/relationships/hyperlink" Target="https://books.google.co.uk/books?hl=en&amp;lr=&amp;id=LTuo24RfTGoC&amp;oi=fnd&amp;pg=PR9&amp;dq=Transmission++wind+OR+solar+OR+storage&amp;ots=H8EsDVz1hH&amp;sig=7CfljZS4FCjlNk6EKVG4ouqtkVs" TargetMode="External"/><Relationship Id="rId445" Type="http://schemas.openxmlformats.org/officeDocument/2006/relationships/hyperlink" Target="http://www.dena.de/fileadmin/user_upload/Projekte/Erneuerbare/Dokumente/dena_Grid_Study_II_-_final_report.pdf" TargetMode="External"/><Relationship Id="rId291" Type="http://schemas.openxmlformats.org/officeDocument/2006/relationships/hyperlink" Target="http://citeseerx.ist.psu.edu/viewdoc/download?doi=10.1.1.466.5496&amp;rep=rep1&amp;type=pdf" TargetMode="External"/><Relationship Id="rId305" Type="http://schemas.openxmlformats.org/officeDocument/2006/relationships/hyperlink" Target="http://ieeexplore.ieee.org/xpls/abs_all.jsp?arnumber=5428348" TargetMode="External"/><Relationship Id="rId347" Type="http://schemas.openxmlformats.org/officeDocument/2006/relationships/hyperlink" Target="http://www.sciencedirect.com/science/article/pii/S0140988313000285" TargetMode="External"/><Relationship Id="rId44" Type="http://schemas.openxmlformats.org/officeDocument/2006/relationships/hyperlink" Target="http://en.cnki.com.cn/Article_en/CJFDTOTAL-DWJS200720005.htm" TargetMode="External"/><Relationship Id="rId86" Type="http://schemas.openxmlformats.org/officeDocument/2006/relationships/hyperlink" Target="http://www.mdpi.com/2071-1050/5/4/1406/htm" TargetMode="External"/><Relationship Id="rId151" Type="http://schemas.openxmlformats.org/officeDocument/2006/relationships/hyperlink" Target="http://ieeexplore.ieee.org/xpls/icp.jsp?arnumber=5589289" TargetMode="External"/><Relationship Id="rId389" Type="http://schemas.openxmlformats.org/officeDocument/2006/relationships/hyperlink" Target="http://www.iec.ch/whitepaper/pdf/iecWP-gridintegrationlargecapacity-LR-en.pdf" TargetMode="External"/><Relationship Id="rId193" Type="http://schemas.openxmlformats.org/officeDocument/2006/relationships/hyperlink" Target="http://www.sciencedirect.com/science/article/pii/S0378779611001945" TargetMode="External"/><Relationship Id="rId207" Type="http://schemas.openxmlformats.org/officeDocument/2006/relationships/hyperlink" Target="http://ieeexplore.ieee.org/xpls/abs_all.jsp?arnumber=5467283" TargetMode="External"/><Relationship Id="rId249" Type="http://schemas.openxmlformats.org/officeDocument/2006/relationships/hyperlink" Target="http://www.sciencedirect.com/science/article/pii/S0378779608002824" TargetMode="External"/><Relationship Id="rId414" Type="http://schemas.openxmlformats.org/officeDocument/2006/relationships/hyperlink" Target="https://www.era.lib.ed.ac.uk/handle/1842/3804" TargetMode="External"/><Relationship Id="rId13" Type="http://schemas.openxmlformats.org/officeDocument/2006/relationships/hyperlink" Target="http://www.sciencedirect.com/science/article/pii/S1364032106001250" TargetMode="External"/><Relationship Id="rId109" Type="http://schemas.openxmlformats.org/officeDocument/2006/relationships/hyperlink" Target="http://www.iaee.org/en/students/best_papers/PedramMokrian.pdf" TargetMode="External"/><Relationship Id="rId260" Type="http://schemas.openxmlformats.org/officeDocument/2006/relationships/hyperlink" Target="http://ieeexplore.ieee.org/xpls/abs_all.jsp?arnumber=4596389" TargetMode="External"/><Relationship Id="rId316" Type="http://schemas.openxmlformats.org/officeDocument/2006/relationships/hyperlink" Target="http://www.sciencedirect.com/science/article/pii/S0301421510008670" TargetMode="External"/><Relationship Id="rId55" Type="http://schemas.openxmlformats.org/officeDocument/2006/relationships/hyperlink" Target="http://www.sciencedirect.com/science/article/pii/S1040619009002668" TargetMode="External"/><Relationship Id="rId97" Type="http://schemas.openxmlformats.org/officeDocument/2006/relationships/hyperlink" Target="http://www.sciencedirect.com/science/article/pii/S0960148105002478" TargetMode="External"/><Relationship Id="rId120" Type="http://schemas.openxmlformats.org/officeDocument/2006/relationships/hyperlink" Target="http://ieeexplore.ieee.org/xpls/icp.jsp?arnumber=4596006" TargetMode="External"/><Relationship Id="rId358" Type="http://schemas.openxmlformats.org/officeDocument/2006/relationships/hyperlink" Target="http://ieeexplore.ieee.org/xpls/abs_all.jsp?arnumber=5563304" TargetMode="External"/><Relationship Id="rId162" Type="http://schemas.openxmlformats.org/officeDocument/2006/relationships/hyperlink" Target="http://ieeexplore.ieee.org/xpls/icp.jsp?arnumber=6242416" TargetMode="External"/><Relationship Id="rId218" Type="http://schemas.openxmlformats.org/officeDocument/2006/relationships/hyperlink" Target="http://ieeexplore.ieee.org/xpls/abs_all.jsp?arnumber=4787536&amp;tag=1" TargetMode="External"/><Relationship Id="rId425" Type="http://schemas.openxmlformats.org/officeDocument/2006/relationships/hyperlink" Target="http://iopscience.iop.org/article/10.1088/1748-9326/3/2/025001/fulltext/;jsessionid=8917B409FF3DF358D77ABEB6FF98F296.c4.iopscience.cld.iop.org" TargetMode="External"/><Relationship Id="rId271" Type="http://schemas.openxmlformats.org/officeDocument/2006/relationships/hyperlink" Target="http://ieeexplore.ieee.org/xpls/abs_all.jsp?arnumber=6019276&amp;tag=1" TargetMode="External"/><Relationship Id="rId24" Type="http://schemas.openxmlformats.org/officeDocument/2006/relationships/hyperlink" Target="http://ieeexplore.ieee.org/xpls/abs_all.jsp?arnumber=5545425" TargetMode="External"/><Relationship Id="rId66" Type="http://schemas.openxmlformats.org/officeDocument/2006/relationships/hyperlink" Target="http://ieeexplore.ieee.org/xpls/abs_all.jsp?arnumber=4282031" TargetMode="External"/><Relationship Id="rId131" Type="http://schemas.openxmlformats.org/officeDocument/2006/relationships/hyperlink" Target="http://www.mapcruzin.com/wind-power-publications/wind-issues/43433.pdf" TargetMode="External"/><Relationship Id="rId327" Type="http://schemas.openxmlformats.org/officeDocument/2006/relationships/hyperlink" Target="http://ieeexplore.ieee.org/xpls/abs_all.jsp?arnumber=6170988&amp;tag=1" TargetMode="External"/><Relationship Id="rId369" Type="http://schemas.openxmlformats.org/officeDocument/2006/relationships/hyperlink" Target="http://www2.nationalgrid.com/UK/Industry-information/Future-of-Energy/FES/Winter-Outlook/" TargetMode="External"/><Relationship Id="rId173" Type="http://schemas.openxmlformats.org/officeDocument/2006/relationships/hyperlink" Target="http://ieeexplore.ieee.org/xpls/icp.jsp?arnumber=6019426" TargetMode="External"/><Relationship Id="rId229" Type="http://schemas.openxmlformats.org/officeDocument/2006/relationships/hyperlink" Target="http://en.cnki.com.cn/Article_en/CJFDTOTAL-SXFD200901006.htm" TargetMode="External"/><Relationship Id="rId380" Type="http://schemas.openxmlformats.org/officeDocument/2006/relationships/hyperlink" Target="http://www.nrel.gov/docs/fy14osti/61721.pdf" TargetMode="External"/><Relationship Id="rId436" Type="http://schemas.openxmlformats.org/officeDocument/2006/relationships/hyperlink" Target="http://www.raeng.org.uk/publications/reports/wind-energy-implications-of-large-scale-deployment" TargetMode="External"/><Relationship Id="rId240" Type="http://schemas.openxmlformats.org/officeDocument/2006/relationships/hyperlink" Target="http://papers.ssrn.com/sol3/papers.cfm?abstract_id=1962414" TargetMode="External"/><Relationship Id="rId35" Type="http://schemas.openxmlformats.org/officeDocument/2006/relationships/hyperlink" Target="http://ieeexplore.ieee.org/xpls/abs_all.jsp?arnumber=5432995" TargetMode="External"/><Relationship Id="rId77" Type="http://schemas.openxmlformats.org/officeDocument/2006/relationships/hyperlink" Target="http://www.sciencedirect.com/science/article/pii/S030142150700095X" TargetMode="External"/><Relationship Id="rId100" Type="http://schemas.openxmlformats.org/officeDocument/2006/relationships/hyperlink" Target="http://www.sciencedirect.com/science/article/pii/S0960148107003011" TargetMode="External"/><Relationship Id="rId282" Type="http://schemas.openxmlformats.org/officeDocument/2006/relationships/hyperlink" Target="http://www.novoco.com/energy/resource_files/reports/nrel_windcurtailmentreport_1009.pdf" TargetMode="External"/><Relationship Id="rId338" Type="http://schemas.openxmlformats.org/officeDocument/2006/relationships/hyperlink" Target="http://ieeexplore.ieee.org/xpls/abs_all.jsp?arnumber=5619794" TargetMode="External"/><Relationship Id="rId8" Type="http://schemas.openxmlformats.org/officeDocument/2006/relationships/hyperlink" Target="http://ieeexplore.ieee.org/xpls/abs_all.jsp?arnumber=5619586" TargetMode="External"/><Relationship Id="rId142" Type="http://schemas.openxmlformats.org/officeDocument/2006/relationships/hyperlink" Target="http://ieeexplore.ieee.org/xpls/icp.jsp?arnumber=5207146" TargetMode="External"/><Relationship Id="rId184" Type="http://schemas.openxmlformats.org/officeDocument/2006/relationships/hyperlink" Target="http://www.sciencedirect.com/science/article/pii/S036054421000294X" TargetMode="External"/><Relationship Id="rId391" Type="http://schemas.openxmlformats.org/officeDocument/2006/relationships/hyperlink" Target="http://pio.sagepub.com/content/226/1/44.full.pdf+html" TargetMode="External"/><Relationship Id="rId405" Type="http://schemas.openxmlformats.org/officeDocument/2006/relationships/hyperlink" Target="http://www.sciencedirect.com/science/article/pii/S0306261915005656" TargetMode="External"/><Relationship Id="rId447" Type="http://schemas.openxmlformats.org/officeDocument/2006/relationships/hyperlink" Target="https://www.sciencedirect.com/science/article/pii/S0140988316301682?via=ihub" TargetMode="External"/><Relationship Id="rId251" Type="http://schemas.openxmlformats.org/officeDocument/2006/relationships/hyperlink" Target="http://ieeexplore.ieee.org/xpls/abs_all.jsp?arnumber=1709154&amp;tag=1" TargetMode="External"/><Relationship Id="rId46" Type="http://schemas.openxmlformats.org/officeDocument/2006/relationships/hyperlink" Target="http://ieeexplore.ieee.org/xpls/abs_all.jsp?arnumber=5325712" TargetMode="External"/><Relationship Id="rId293" Type="http://schemas.openxmlformats.org/officeDocument/2006/relationships/hyperlink" Target="http://ieeexplore.ieee.org/xpls/abs_all.jsp?arnumber=4596200" TargetMode="External"/><Relationship Id="rId307" Type="http://schemas.openxmlformats.org/officeDocument/2006/relationships/hyperlink" Target="http://ieeexplore.ieee.org/xpls/icp.jsp?arnumber=4484960" TargetMode="External"/><Relationship Id="rId349" Type="http://schemas.openxmlformats.org/officeDocument/2006/relationships/hyperlink" Target="http://www.sciencedirect.com/science/article/pii/S1364032109000240" TargetMode="External"/><Relationship Id="rId88" Type="http://schemas.openxmlformats.org/officeDocument/2006/relationships/hyperlink" Target="http://www.sciencedirect.com/science/article/pii/S0960148106000723" TargetMode="External"/><Relationship Id="rId111" Type="http://schemas.openxmlformats.org/officeDocument/2006/relationships/hyperlink" Target="http://ieeexplore.ieee.org/xpls/icp.jsp?arnumber=4658927" TargetMode="External"/><Relationship Id="rId153" Type="http://schemas.openxmlformats.org/officeDocument/2006/relationships/hyperlink" Target="http://www.sciencedirect.com/science/article/pii/S030142151100036X" TargetMode="External"/><Relationship Id="rId195" Type="http://schemas.openxmlformats.org/officeDocument/2006/relationships/hyperlink" Target="http://ieeexplore.ieee.org/xpls/abs_all.jsp?arnumber=1709377" TargetMode="External"/><Relationship Id="rId209" Type="http://schemas.openxmlformats.org/officeDocument/2006/relationships/hyperlink" Target="http://www.sciencedirect.com/science/article/pii/S0038092X10000782" TargetMode="External"/><Relationship Id="rId360" Type="http://schemas.openxmlformats.org/officeDocument/2006/relationships/hyperlink" Target="http://ieeexplore.ieee.org/xpls/abs_all.jsp?arnumber=6095383" TargetMode="External"/><Relationship Id="rId416" Type="http://schemas.openxmlformats.org/officeDocument/2006/relationships/hyperlink" Target="https://www.mech.kuleuven.be/en/tme/research/energy_environment/Pdf/wp-en2011-05.pdf" TargetMode="External"/><Relationship Id="rId220" Type="http://schemas.openxmlformats.org/officeDocument/2006/relationships/hyperlink" Target="http://ieeexplore.ieee.org/xpls/abs_all.jsp?arnumber=1677661" TargetMode="External"/><Relationship Id="rId15" Type="http://schemas.openxmlformats.org/officeDocument/2006/relationships/hyperlink" Target="http://www.inderscienceonline.com/doi/abs/10.1504/IJGEI.2006.008994" TargetMode="External"/><Relationship Id="rId57" Type="http://schemas.openxmlformats.org/officeDocument/2006/relationships/hyperlink" Target="http://www.sciencedirect.com/science/article/pii/S0301421511002813" TargetMode="External"/><Relationship Id="rId262" Type="http://schemas.openxmlformats.org/officeDocument/2006/relationships/hyperlink" Target="http://onlinelibrary.wiley.com/doi/10.1111/j.1467-8462.2011.00646.x/abstract?userIsAuthenticated=false&amp;deniedAccessCustomisedMessage=" TargetMode="External"/><Relationship Id="rId318" Type="http://schemas.openxmlformats.org/officeDocument/2006/relationships/hyperlink" Target="http://ieeexplore.ieee.org/xpls/abs_all.jsp?arnumber=6268312" TargetMode="External"/><Relationship Id="rId99" Type="http://schemas.openxmlformats.org/officeDocument/2006/relationships/hyperlink" Target="http://www.sciencedirect.com/science/article/pii/S0301421513003960" TargetMode="External"/><Relationship Id="rId122" Type="http://schemas.openxmlformats.org/officeDocument/2006/relationships/hyperlink" Target="http://ieeexplore.ieee.org/xpls/abs_all.jsp?arnumber=4806129" TargetMode="External"/><Relationship Id="rId164" Type="http://schemas.openxmlformats.org/officeDocument/2006/relationships/hyperlink" Target="http://www.nyiso.com/public/webdocs/markets_operations/committees/bic_miwg/meeting_materials/2010-02-17/EWITSNYISO.pdf" TargetMode="External"/><Relationship Id="rId371" Type="http://schemas.openxmlformats.org/officeDocument/2006/relationships/hyperlink" Target="https://www.gov.uk/government/uploads/system/uploads/attachment_data/file/261604/HC_675_updated_accessible.pdf" TargetMode="External"/><Relationship Id="rId427" Type="http://schemas.openxmlformats.org/officeDocument/2006/relationships/hyperlink" Target="http://www.ieawind.org/task_25/PDF/HomePagePDF's/T75.pdf" TargetMode="External"/><Relationship Id="rId26" Type="http://schemas.openxmlformats.org/officeDocument/2006/relationships/hyperlink" Target="http://www.iaee.org/en/publications/eeeparticle.aspx?id=17" TargetMode="External"/><Relationship Id="rId231" Type="http://schemas.openxmlformats.org/officeDocument/2006/relationships/hyperlink" Target="http://ieeexplore.ieee.org/xpls/abs_all.jsp?arnumber=6259823&amp;tag=1" TargetMode="External"/><Relationship Id="rId273" Type="http://schemas.openxmlformats.org/officeDocument/2006/relationships/hyperlink" Target="http://ieeexplore.ieee.org/xpls/abs_all.jsp?arnumber=5275558" TargetMode="External"/><Relationship Id="rId329" Type="http://schemas.openxmlformats.org/officeDocument/2006/relationships/hyperlink" Target="http://ieeexplore.ieee.org/stamp/stamp.jsp?tp=&amp;arnumber=6345212" TargetMode="External"/><Relationship Id="rId68" Type="http://schemas.openxmlformats.org/officeDocument/2006/relationships/hyperlink" Target="http://www.sciencedirect.com/science/article/pii/S0960148109005175" TargetMode="External"/><Relationship Id="rId133" Type="http://schemas.openxmlformats.org/officeDocument/2006/relationships/hyperlink" Target="http://onlinelibrary.wiley.com/doi/10.1002/we.410/pdf" TargetMode="External"/><Relationship Id="rId175" Type="http://schemas.openxmlformats.org/officeDocument/2006/relationships/hyperlink" Target="http://ieeexplore.ieee.org/xpls/icp.jsp?arnumber=4651587" TargetMode="External"/><Relationship Id="rId340" Type="http://schemas.openxmlformats.org/officeDocument/2006/relationships/hyperlink" Target="http://ieeexplore.ieee.org/xpls/abs_all.jsp?arnumber=5466194" TargetMode="External"/><Relationship Id="rId200" Type="http://schemas.openxmlformats.org/officeDocument/2006/relationships/hyperlink" Target="http://ieeexplore.ieee.org/xpls/abs_all.jsp?arnumber=5510367" TargetMode="External"/><Relationship Id="rId382" Type="http://schemas.openxmlformats.org/officeDocument/2006/relationships/hyperlink" Target="http://www.uwig.org/iea_report_on_variability.pdf" TargetMode="External"/><Relationship Id="rId438" Type="http://schemas.openxmlformats.org/officeDocument/2006/relationships/hyperlink" Target="http://www.atinstitute.org/wp-content/uploads/2012/12/Hidden-Cost.pdf" TargetMode="External"/><Relationship Id="rId242" Type="http://schemas.openxmlformats.org/officeDocument/2006/relationships/hyperlink" Target="http://multi-science.atypon.com/doi/abs/10.1260/0309-524X.32.4.355" TargetMode="External"/><Relationship Id="rId284" Type="http://schemas.openxmlformats.org/officeDocument/2006/relationships/hyperlink" Target="http://www.leonardo-energy.info/sites/leonardo-energy/files/root/Documents/2009/pub_1527.pdf" TargetMode="External"/><Relationship Id="rId37" Type="http://schemas.openxmlformats.org/officeDocument/2006/relationships/hyperlink" Target="http://papers.ssrn.com/sol3/papers.cfm?abstract_id=1945724" TargetMode="External"/><Relationship Id="rId79" Type="http://schemas.openxmlformats.org/officeDocument/2006/relationships/hyperlink" Target="http://www.annualreviews.org/eprint/xRx96NggYH7YgQTkHBEU/full/10.1146/annurev-resource-091912-151843" TargetMode="External"/><Relationship Id="rId102" Type="http://schemas.openxmlformats.org/officeDocument/2006/relationships/hyperlink" Target="http://www.pnl.gov/main/publications/external/technical_reports/PNNL-17574.pdf" TargetMode="External"/><Relationship Id="rId144" Type="http://schemas.openxmlformats.org/officeDocument/2006/relationships/hyperlink" Target="https://www.ee.iitb.ac.in/uma/~npsc2008/NPSC_CD/Data/Oral/FIC3/p137.pdf" TargetMode="External"/><Relationship Id="rId90" Type="http://schemas.openxmlformats.org/officeDocument/2006/relationships/hyperlink" Target="http://solarenergyengineering.asmedigitalcollection.asme.org/article.aspx?articleid=1556830" TargetMode="External"/><Relationship Id="rId186" Type="http://schemas.openxmlformats.org/officeDocument/2006/relationships/hyperlink" Target="http://en.cnki.com.cn/Article_en/CJFDTOTAL-DLXT200918021.htm" TargetMode="External"/><Relationship Id="rId351" Type="http://schemas.openxmlformats.org/officeDocument/2006/relationships/hyperlink" Target="http://www.tandfonline.com/doi/abs/10.3763/cpol.2009.0641" TargetMode="External"/><Relationship Id="rId393" Type="http://schemas.openxmlformats.org/officeDocument/2006/relationships/hyperlink" Target="http://erpuk.org/wp-content/uploads/2015/08/ERP-Flex-Man-Full-Report.pdf" TargetMode="External"/><Relationship Id="rId407" Type="http://schemas.openxmlformats.org/officeDocument/2006/relationships/hyperlink" Target="http://webarchive.nationalarchives.gov.uk/+/http:/www.berr.gov.uk/files/file46772.pdf" TargetMode="External"/><Relationship Id="rId449" Type="http://schemas.openxmlformats.org/officeDocument/2006/relationships/hyperlink" Target="https://www.sciencedirect.com/science/article/pii/S0140988318304006?via%3Dihub" TargetMode="External"/><Relationship Id="rId211" Type="http://schemas.openxmlformats.org/officeDocument/2006/relationships/hyperlink" Target="http://ieeexplore.ieee.org/xpls/abs_all.jsp?arnumber=5510521&amp;tag=1" TargetMode="External"/><Relationship Id="rId253" Type="http://schemas.openxmlformats.org/officeDocument/2006/relationships/hyperlink" Target="http://en.cnki.com.cn/Article_en/CJFDTotal-JDQW201021006.htm" TargetMode="External"/><Relationship Id="rId295" Type="http://schemas.openxmlformats.org/officeDocument/2006/relationships/hyperlink" Target="http://ieeexplore.ieee.org/stamp/stamp.jsp?tp=&amp;arnumber=6254783" TargetMode="External"/><Relationship Id="rId309" Type="http://schemas.openxmlformats.org/officeDocument/2006/relationships/hyperlink" Target="http://www.sciencedirect.com/science/article/pii/S0140988314000875" TargetMode="External"/><Relationship Id="rId48" Type="http://schemas.openxmlformats.org/officeDocument/2006/relationships/hyperlink" Target="http://ieeexplore.ieee.org/stamp/stamp.jsp?tp=&amp;arnumber=5563263" TargetMode="External"/><Relationship Id="rId113" Type="http://schemas.openxmlformats.org/officeDocument/2006/relationships/hyperlink" Target="http://www.sciencedirect.com/science/article/pii/S036054420600301X" TargetMode="External"/><Relationship Id="rId320" Type="http://schemas.openxmlformats.org/officeDocument/2006/relationships/hyperlink" Target="https://lirias.kuleuven.be/handle/123456789/345286" TargetMode="External"/><Relationship Id="rId155" Type="http://schemas.openxmlformats.org/officeDocument/2006/relationships/hyperlink" Target="http://www.nrel.gov/docs/fy06osti/39955.pdf" TargetMode="External"/><Relationship Id="rId197" Type="http://schemas.openxmlformats.org/officeDocument/2006/relationships/hyperlink" Target="http://www.sciencemag.org/content/334/6058/928.short" TargetMode="External"/><Relationship Id="rId362" Type="http://schemas.openxmlformats.org/officeDocument/2006/relationships/hyperlink" Target="http://brage.bibsys.no/xmlui/handle/11250/256992" TargetMode="External"/><Relationship Id="rId418" Type="http://schemas.openxmlformats.org/officeDocument/2006/relationships/hyperlink" Target="http://ieeexplore.ieee.org/xpls/abs_all.jsp?arnumber=4694984" TargetMode="External"/><Relationship Id="rId222" Type="http://schemas.openxmlformats.org/officeDocument/2006/relationships/hyperlink" Target="https://wpweb2.tepper.cmu.edu/ceic/PDFS/CEIC_09_03_teo.pdf" TargetMode="External"/><Relationship Id="rId264" Type="http://schemas.openxmlformats.org/officeDocument/2006/relationships/hyperlink" Target="http://ieeexplore.ieee.org/xpls/abs_all.jsp?arnumber=1709459" TargetMode="External"/><Relationship Id="rId17" Type="http://schemas.openxmlformats.org/officeDocument/2006/relationships/hyperlink" Target="http://www.sciencedirect.com/science/article/pii/S0301421506001509" TargetMode="External"/><Relationship Id="rId59" Type="http://schemas.openxmlformats.org/officeDocument/2006/relationships/hyperlink" Target="http://www.sciencedirect.com/science/article/pii/S0378775312014759" TargetMode="External"/><Relationship Id="rId124" Type="http://schemas.openxmlformats.org/officeDocument/2006/relationships/hyperlink" Target="http://www.sciencedirect.com/science/article/pii/S0306261908003139" TargetMode="External"/><Relationship Id="rId70" Type="http://schemas.openxmlformats.org/officeDocument/2006/relationships/hyperlink" Target="http://citeseerx.ist.psu.edu/viewdoc/summary?doi=10.1.1.295.6279" TargetMode="External"/><Relationship Id="rId166" Type="http://schemas.openxmlformats.org/officeDocument/2006/relationships/hyperlink" Target="http://ieeexplore.ieee.org/xpls/icp.jsp?arnumber=4840221" TargetMode="External"/><Relationship Id="rId331" Type="http://schemas.openxmlformats.org/officeDocument/2006/relationships/hyperlink" Target="http://onlinelibrary.wiley.com/doi/10.1002/we.1549/full" TargetMode="External"/><Relationship Id="rId373" Type="http://schemas.openxmlformats.org/officeDocument/2006/relationships/hyperlink" Target="http://erpuk.org/project/flexible-technology-options-priorities-for-innovation/" TargetMode="External"/><Relationship Id="rId429" Type="http://schemas.openxmlformats.org/officeDocument/2006/relationships/hyperlink" Target="http://www.iea.org/publications/freepublications/publication/WEO2012_free.pdf" TargetMode="External"/><Relationship Id="rId1" Type="http://schemas.openxmlformats.org/officeDocument/2006/relationships/hyperlink" Target="http://onlinelibrary.wiley.com/doi/10.1002/etep.125/pdf" TargetMode="External"/><Relationship Id="rId233" Type="http://schemas.openxmlformats.org/officeDocument/2006/relationships/hyperlink" Target="http://ieeexplore.ieee.org/xpls/abs_all.jsp?arnumber=6313960&amp;tag=1" TargetMode="External"/><Relationship Id="rId440" Type="http://schemas.openxmlformats.org/officeDocument/2006/relationships/hyperlink" Target="http://www.eirgrid.com/media/Ensuring_a_Secure_Reliable_and_Efficient_Power_System_Report.pdf" TargetMode="External"/><Relationship Id="rId28" Type="http://schemas.openxmlformats.org/officeDocument/2006/relationships/hyperlink" Target="http://www.sciencedirect.com/science/article/pii/S030142150900545X" TargetMode="External"/><Relationship Id="rId275" Type="http://schemas.openxmlformats.org/officeDocument/2006/relationships/hyperlink" Target="http://www.sciencedirect.com/science/article/pii/S0306261908000044" TargetMode="External"/><Relationship Id="rId300" Type="http://schemas.openxmlformats.org/officeDocument/2006/relationships/hyperlink" Target="http://pubs.acs.org/doi/pdf/10.1021/es200417b" TargetMode="External"/><Relationship Id="rId81" Type="http://schemas.openxmlformats.org/officeDocument/2006/relationships/hyperlink" Target="http://reee.sacities.net/sites/default/files/Tech%20Review/SOLAR/PV/Very%20Large-Scale%20Deployment%20of%20Grid-Connected%20Solar%20Photovoltaics%20in%20the%20United%20States-%20Challenges%20and%20Opportunities.pdf" TargetMode="External"/><Relationship Id="rId135" Type="http://schemas.openxmlformats.org/officeDocument/2006/relationships/hyperlink" Target="http://onlinelibrary.wiley.com/doi/10.1002/we.208/abstract" TargetMode="External"/><Relationship Id="rId177" Type="http://schemas.openxmlformats.org/officeDocument/2006/relationships/hyperlink" Target="http://www.sciencedirect.com/science/article/pii/S1364032107000238" TargetMode="External"/><Relationship Id="rId342" Type="http://schemas.openxmlformats.org/officeDocument/2006/relationships/hyperlink" Target="http://ieeexplore.ieee.org/xpls/abs_all.jsp?arnumber=4682642" TargetMode="External"/><Relationship Id="rId384" Type="http://schemas.openxmlformats.org/officeDocument/2006/relationships/hyperlink" Target="http://www.uwig.org/eweastudy/051215_grid_report.pdf" TargetMode="External"/><Relationship Id="rId202" Type="http://schemas.openxmlformats.org/officeDocument/2006/relationships/hyperlink" Target="https://books.google.co.uk/books?hl=en&amp;lr=&amp;id=5k4tmcVIaM0C&amp;oi=fnd&amp;pg=PP10&amp;dq=Grid++wind+OR+solar+OR+storage&amp;ots=vbPYeH9jws&amp;sig=J0KunCLPuEEUoCzCdfhf8Hj9BAY" TargetMode="External"/><Relationship Id="rId244" Type="http://schemas.openxmlformats.org/officeDocument/2006/relationships/hyperlink" Target="http://ieeexplore.ieee.org/xpls/abs_all.jsp?arnumber=5275562&amp;tag=1" TargetMode="External"/><Relationship Id="rId39" Type="http://schemas.openxmlformats.org/officeDocument/2006/relationships/hyperlink" Target="http://www.sciencedirect.com/science/article/pii/S0960148106000127" TargetMode="External"/><Relationship Id="rId286" Type="http://schemas.openxmlformats.org/officeDocument/2006/relationships/hyperlink" Target="http://digital-library.theiet.org/content/journals/10.1049/iet-gtd_20070023" TargetMode="External"/><Relationship Id="rId45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hyperlink" Target="https://ec.europa.eu/eurostat/web/hicp/data/database" TargetMode="External"/><Relationship Id="rId1" Type="http://schemas.openxmlformats.org/officeDocument/2006/relationships/hyperlink" Target="https://www.gov.uk/government/statistics/gdp-deflators-at-market-prices-and-money-gdp-november-2015-the-autumn-statement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bankofengland.co.uk/mfsd/iadb/index.asp?Travel=NIxIRx&amp;levels=2&amp;XNotes=Y&amp;A3790XNode3790.x=2&amp;A3790XNode3790.y=7&amp;Nodes=&amp;SectionRequired=I&amp;HideNums=-1&amp;ExtraInfo=true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13"/>
  <sheetViews>
    <sheetView zoomScaleNormal="100" workbookViewId="0">
      <selection activeCell="A4" sqref="A4"/>
    </sheetView>
  </sheetViews>
  <sheetFormatPr baseColWidth="10" defaultColWidth="9.1640625" defaultRowHeight="13"/>
  <cols>
    <col min="1" max="1" width="41.33203125" customWidth="1"/>
    <col min="2" max="2" width="93.5" customWidth="1"/>
  </cols>
  <sheetData>
    <row r="2" spans="1:2">
      <c r="A2" s="41" t="s">
        <v>1880</v>
      </c>
    </row>
    <row r="4" spans="1:2">
      <c r="A4" s="41" t="s">
        <v>1900</v>
      </c>
      <c r="B4" s="22" t="s">
        <v>1899</v>
      </c>
    </row>
    <row r="5" spans="1:2">
      <c r="A5" s="41" t="s">
        <v>1926</v>
      </c>
      <c r="B5" t="s">
        <v>1925</v>
      </c>
    </row>
    <row r="6" spans="1:2">
      <c r="A6" s="41" t="s">
        <v>1881</v>
      </c>
      <c r="B6" s="22" t="s">
        <v>1882</v>
      </c>
    </row>
    <row r="7" spans="1:2">
      <c r="A7" s="41" t="s">
        <v>1775</v>
      </c>
      <c r="B7" s="22" t="s">
        <v>1883</v>
      </c>
    </row>
    <row r="8" spans="1:2">
      <c r="A8" s="41" t="s">
        <v>1780</v>
      </c>
      <c r="B8" s="22" t="s">
        <v>1884</v>
      </c>
    </row>
    <row r="9" spans="1:2">
      <c r="A9" s="41" t="s">
        <v>1889</v>
      </c>
      <c r="B9" s="22" t="s">
        <v>1885</v>
      </c>
    </row>
    <row r="10" spans="1:2">
      <c r="A10" s="41" t="s">
        <v>1886</v>
      </c>
      <c r="B10" s="22" t="s">
        <v>1898</v>
      </c>
    </row>
    <row r="11" spans="1:2">
      <c r="A11" s="41" t="s">
        <v>1506</v>
      </c>
      <c r="B11" s="22" t="s">
        <v>1927</v>
      </c>
    </row>
    <row r="13" spans="1:2">
      <c r="A13" s="22"/>
      <c r="B13" s="2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9"/>
  <sheetViews>
    <sheetView workbookViewId="0">
      <selection activeCell="B22" sqref="B22"/>
    </sheetView>
  </sheetViews>
  <sheetFormatPr baseColWidth="10" defaultColWidth="8.83203125" defaultRowHeight="13"/>
  <cols>
    <col min="1" max="1" width="70" customWidth="1"/>
  </cols>
  <sheetData>
    <row r="1" spans="1:1">
      <c r="A1" t="s">
        <v>1901</v>
      </c>
    </row>
    <row r="2" spans="1:1">
      <c r="A2" t="s">
        <v>1902</v>
      </c>
    </row>
    <row r="3" spans="1:1">
      <c r="A3" t="s">
        <v>1903</v>
      </c>
    </row>
    <row r="4" spans="1:1">
      <c r="A4" t="s">
        <v>1904</v>
      </c>
    </row>
    <row r="5" spans="1:1">
      <c r="A5" t="s">
        <v>1905</v>
      </c>
    </row>
    <row r="6" spans="1:1">
      <c r="A6" t="s">
        <v>1906</v>
      </c>
    </row>
    <row r="7" spans="1:1">
      <c r="A7" t="s">
        <v>1907</v>
      </c>
    </row>
    <row r="8" spans="1:1">
      <c r="A8" t="s">
        <v>1908</v>
      </c>
    </row>
    <row r="9" spans="1:1">
      <c r="A9" t="s">
        <v>1909</v>
      </c>
    </row>
    <row r="10" spans="1:1">
      <c r="A10" t="s">
        <v>1910</v>
      </c>
    </row>
    <row r="11" spans="1:1">
      <c r="A11" t="s">
        <v>1911</v>
      </c>
    </row>
    <row r="12" spans="1:1">
      <c r="A12" t="s">
        <v>1912</v>
      </c>
    </row>
    <row r="13" spans="1:1">
      <c r="A13" t="s">
        <v>1913</v>
      </c>
    </row>
    <row r="14" spans="1:1">
      <c r="A14" t="s">
        <v>1914</v>
      </c>
    </row>
    <row r="15" spans="1:1">
      <c r="A15" t="s">
        <v>1028</v>
      </c>
    </row>
    <row r="16" spans="1:1">
      <c r="A16" t="s">
        <v>1915</v>
      </c>
    </row>
    <row r="17" spans="1:1">
      <c r="A17" t="s">
        <v>1916</v>
      </c>
    </row>
    <row r="18" spans="1:1">
      <c r="A18" t="s">
        <v>1917</v>
      </c>
    </row>
    <row r="19" spans="1:1">
      <c r="A19" t="s">
        <v>1918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D21" sqref="D21"/>
    </sheetView>
  </sheetViews>
  <sheetFormatPr baseColWidth="10" defaultColWidth="8.83203125" defaultRowHeight="13"/>
  <cols>
    <col min="1" max="1" width="18.1640625" customWidth="1"/>
    <col min="2" max="2" width="101.1640625" customWidth="1"/>
  </cols>
  <sheetData>
    <row r="1" spans="1:2">
      <c r="A1" t="s">
        <v>1919</v>
      </c>
      <c r="B1" t="s">
        <v>1920</v>
      </c>
    </row>
    <row r="2" spans="1:2">
      <c r="A2" s="16">
        <v>1</v>
      </c>
      <c r="B2" t="s">
        <v>1921</v>
      </c>
    </row>
    <row r="3" spans="1:2">
      <c r="A3" s="16">
        <v>2</v>
      </c>
      <c r="B3" t="s">
        <v>1922</v>
      </c>
    </row>
    <row r="4" spans="1:2">
      <c r="A4" s="16">
        <v>3</v>
      </c>
      <c r="B4" t="s">
        <v>1923</v>
      </c>
    </row>
    <row r="5" spans="1:2">
      <c r="A5" s="16">
        <v>4</v>
      </c>
      <c r="B5" t="s">
        <v>1924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859"/>
  <sheetViews>
    <sheetView tabSelected="1" topLeftCell="K1" zoomScaleNormal="100" workbookViewId="0">
      <pane ySplit="1" topLeftCell="A420" activePane="bottomLeft" state="frozen"/>
      <selection pane="bottomLeft" activeCell="K462" sqref="K462"/>
    </sheetView>
  </sheetViews>
  <sheetFormatPr baseColWidth="10" defaultColWidth="14.5" defaultRowHeight="15.75" customHeight="1"/>
  <cols>
    <col min="1" max="1" width="11.5" style="22" customWidth="1"/>
    <col min="2" max="2" width="38.33203125" style="22" customWidth="1"/>
    <col min="3" max="3" width="14.5" style="22"/>
    <col min="4" max="4" width="10.5" style="22" customWidth="1"/>
    <col min="5" max="5" width="16.5" style="22" customWidth="1"/>
    <col min="6" max="6" width="17.83203125" style="22" customWidth="1"/>
    <col min="7" max="7" width="7.33203125" style="22" customWidth="1"/>
    <col min="8" max="8" width="156.6640625" style="22" customWidth="1"/>
    <col min="9" max="9" width="100.1640625" style="22" customWidth="1"/>
    <col min="10" max="10" width="26.83203125" style="22" customWidth="1"/>
    <col min="11" max="11" width="280.1640625" style="22" customWidth="1"/>
    <col min="12" max="12" width="31.83203125" style="22" customWidth="1"/>
    <col min="13" max="16384" width="14.5" style="22"/>
  </cols>
  <sheetData>
    <row r="1" spans="1:29" s="46" customFormat="1" ht="42">
      <c r="A1" s="68" t="s">
        <v>0</v>
      </c>
      <c r="B1" s="69" t="s">
        <v>1</v>
      </c>
      <c r="C1" s="47" t="s">
        <v>2</v>
      </c>
      <c r="D1" s="69" t="s">
        <v>3</v>
      </c>
      <c r="E1" s="69" t="s">
        <v>4</v>
      </c>
      <c r="F1" s="70" t="s">
        <v>5</v>
      </c>
      <c r="G1" s="47" t="s">
        <v>6</v>
      </c>
      <c r="H1" s="47" t="s">
        <v>7</v>
      </c>
      <c r="I1" s="47" t="s">
        <v>8</v>
      </c>
      <c r="J1" s="47" t="s">
        <v>9</v>
      </c>
      <c r="K1" s="47" t="s">
        <v>10</v>
      </c>
      <c r="L1" s="45" t="s">
        <v>11</v>
      </c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  <c r="AA1" s="45"/>
      <c r="AB1" s="45"/>
      <c r="AC1" s="45"/>
    </row>
    <row r="2" spans="1:29" customFormat="1" ht="13">
      <c r="A2" s="1"/>
      <c r="B2" s="2"/>
      <c r="F2" s="3" t="s">
        <v>12</v>
      </c>
    </row>
    <row r="3" spans="1:29" ht="28">
      <c r="A3" s="49">
        <v>1</v>
      </c>
      <c r="B3" s="50" t="s">
        <v>13</v>
      </c>
      <c r="C3" s="40" t="s">
        <v>14</v>
      </c>
      <c r="D3" s="51" t="s">
        <v>15</v>
      </c>
      <c r="E3" s="51">
        <v>91700</v>
      </c>
      <c r="F3" s="19">
        <v>2</v>
      </c>
      <c r="G3" s="40">
        <v>2007</v>
      </c>
      <c r="H3" s="40" t="s">
        <v>16</v>
      </c>
      <c r="I3" s="40" t="s">
        <v>17</v>
      </c>
      <c r="J3" s="40" t="s">
        <v>18</v>
      </c>
      <c r="K3" s="52" t="s">
        <v>19</v>
      </c>
    </row>
    <row r="4" spans="1:29" customFormat="1" ht="28">
      <c r="A4" s="1">
        <v>2</v>
      </c>
      <c r="B4" s="2" t="s">
        <v>13</v>
      </c>
      <c r="C4" s="4" t="s">
        <v>14</v>
      </c>
      <c r="D4" s="5" t="s">
        <v>15</v>
      </c>
      <c r="E4" s="5">
        <v>91700</v>
      </c>
      <c r="F4" s="3">
        <v>3</v>
      </c>
      <c r="G4" s="4">
        <v>2009</v>
      </c>
      <c r="H4" s="6" t="s">
        <v>20</v>
      </c>
      <c r="I4" s="4" t="s">
        <v>21</v>
      </c>
      <c r="J4" s="4" t="s">
        <v>22</v>
      </c>
      <c r="K4" s="7" t="s">
        <v>23</v>
      </c>
    </row>
    <row r="5" spans="1:29" customFormat="1" ht="28">
      <c r="A5" s="1">
        <v>3</v>
      </c>
      <c r="B5" s="2" t="s">
        <v>13</v>
      </c>
      <c r="C5" s="4" t="s">
        <v>14</v>
      </c>
      <c r="D5" s="5" t="s">
        <v>15</v>
      </c>
      <c r="E5" s="5">
        <v>91700</v>
      </c>
      <c r="F5" s="3">
        <v>3</v>
      </c>
      <c r="G5" s="4">
        <v>2007</v>
      </c>
      <c r="H5" s="6" t="s">
        <v>24</v>
      </c>
      <c r="I5" s="4" t="s">
        <v>25</v>
      </c>
      <c r="J5" s="4" t="s">
        <v>26</v>
      </c>
      <c r="K5" s="7" t="s">
        <v>27</v>
      </c>
    </row>
    <row r="6" spans="1:29" ht="28">
      <c r="A6" s="49">
        <v>4</v>
      </c>
      <c r="B6" s="50" t="s">
        <v>13</v>
      </c>
      <c r="C6" s="40" t="s">
        <v>14</v>
      </c>
      <c r="D6" s="51" t="s">
        <v>15</v>
      </c>
      <c r="E6" s="51">
        <v>91700</v>
      </c>
      <c r="F6" s="19">
        <v>2</v>
      </c>
      <c r="G6" s="40">
        <v>2006</v>
      </c>
      <c r="H6" s="40" t="s">
        <v>28</v>
      </c>
      <c r="I6" s="40" t="s">
        <v>29</v>
      </c>
      <c r="J6" s="40" t="s">
        <v>30</v>
      </c>
      <c r="K6" s="52" t="s">
        <v>31</v>
      </c>
    </row>
    <row r="7" spans="1:29" ht="28">
      <c r="A7" s="49">
        <v>5</v>
      </c>
      <c r="B7" s="50" t="s">
        <v>13</v>
      </c>
      <c r="C7" s="40" t="s">
        <v>14</v>
      </c>
      <c r="D7" s="51" t="s">
        <v>15</v>
      </c>
      <c r="E7" s="51">
        <v>91700</v>
      </c>
      <c r="F7" s="19">
        <v>1</v>
      </c>
      <c r="G7" s="40">
        <v>2010</v>
      </c>
      <c r="H7" s="40" t="s">
        <v>32</v>
      </c>
      <c r="I7" s="40" t="s">
        <v>33</v>
      </c>
      <c r="J7" s="40" t="s">
        <v>34</v>
      </c>
      <c r="K7" s="53" t="s">
        <v>35</v>
      </c>
    </row>
    <row r="8" spans="1:29" ht="28">
      <c r="A8" s="49">
        <v>6</v>
      </c>
      <c r="B8" s="50" t="s">
        <v>13</v>
      </c>
      <c r="C8" s="40" t="s">
        <v>14</v>
      </c>
      <c r="D8" s="51" t="s">
        <v>15</v>
      </c>
      <c r="E8" s="51">
        <v>91700</v>
      </c>
      <c r="F8" s="19">
        <v>1</v>
      </c>
      <c r="G8" s="40">
        <v>2006</v>
      </c>
      <c r="H8" s="40" t="s">
        <v>36</v>
      </c>
      <c r="I8" s="40" t="s">
        <v>37</v>
      </c>
      <c r="J8" s="40" t="s">
        <v>38</v>
      </c>
      <c r="K8" s="52" t="s">
        <v>39</v>
      </c>
    </row>
    <row r="9" spans="1:29" customFormat="1" ht="28">
      <c r="A9" s="1">
        <v>7</v>
      </c>
      <c r="B9" s="2" t="s">
        <v>13</v>
      </c>
      <c r="C9" s="4" t="s">
        <v>14</v>
      </c>
      <c r="D9" s="5" t="s">
        <v>15</v>
      </c>
      <c r="E9" s="5">
        <v>91700</v>
      </c>
      <c r="F9" s="3">
        <v>3</v>
      </c>
      <c r="G9" s="4">
        <v>2009</v>
      </c>
      <c r="H9" s="6" t="s">
        <v>40</v>
      </c>
      <c r="I9" s="4" t="s">
        <v>41</v>
      </c>
      <c r="J9" s="4" t="s">
        <v>42</v>
      </c>
      <c r="K9" s="8" t="s">
        <v>43</v>
      </c>
    </row>
    <row r="10" spans="1:29" customFormat="1" ht="28">
      <c r="A10" s="1">
        <v>8</v>
      </c>
      <c r="B10" s="2" t="s">
        <v>13</v>
      </c>
      <c r="C10" s="4" t="s">
        <v>14</v>
      </c>
      <c r="D10" s="5" t="s">
        <v>15</v>
      </c>
      <c r="E10" s="5">
        <v>91700</v>
      </c>
      <c r="F10" s="3">
        <v>3</v>
      </c>
      <c r="G10" s="4">
        <v>2010</v>
      </c>
      <c r="H10" s="6" t="s">
        <v>44</v>
      </c>
      <c r="I10" s="4" t="s">
        <v>45</v>
      </c>
      <c r="J10" s="4" t="s">
        <v>46</v>
      </c>
      <c r="K10" s="7" t="s">
        <v>47</v>
      </c>
    </row>
    <row r="11" spans="1:29" ht="28">
      <c r="A11" s="49">
        <v>9</v>
      </c>
      <c r="B11" s="50" t="s">
        <v>13</v>
      </c>
      <c r="C11" s="40" t="s">
        <v>14</v>
      </c>
      <c r="D11" s="51" t="s">
        <v>15</v>
      </c>
      <c r="E11" s="51">
        <v>91700</v>
      </c>
      <c r="F11" s="19">
        <v>2</v>
      </c>
      <c r="G11" s="40">
        <v>2007</v>
      </c>
      <c r="H11" s="40" t="s">
        <v>48</v>
      </c>
      <c r="I11" s="40" t="s">
        <v>49</v>
      </c>
      <c r="J11" s="40" t="s">
        <v>50</v>
      </c>
      <c r="K11" s="52" t="s">
        <v>51</v>
      </c>
    </row>
    <row r="12" spans="1:29" customFormat="1" ht="28">
      <c r="A12" s="1">
        <v>10</v>
      </c>
      <c r="B12" s="2" t="s">
        <v>13</v>
      </c>
      <c r="C12" s="4" t="s">
        <v>14</v>
      </c>
      <c r="D12" s="5" t="s">
        <v>15</v>
      </c>
      <c r="E12" s="5">
        <v>91700</v>
      </c>
      <c r="F12" s="3">
        <v>3</v>
      </c>
      <c r="G12" s="4">
        <v>2010</v>
      </c>
      <c r="H12" s="6" t="s">
        <v>52</v>
      </c>
      <c r="I12" s="4" t="s">
        <v>53</v>
      </c>
      <c r="J12" s="4" t="s">
        <v>54</v>
      </c>
      <c r="K12" s="7" t="s">
        <v>55</v>
      </c>
    </row>
    <row r="13" spans="1:29" ht="28">
      <c r="A13" s="49">
        <v>11</v>
      </c>
      <c r="B13" s="50" t="s">
        <v>13</v>
      </c>
      <c r="C13" s="40" t="s">
        <v>14</v>
      </c>
      <c r="D13" s="51" t="s">
        <v>15</v>
      </c>
      <c r="E13" s="51">
        <v>91700</v>
      </c>
      <c r="F13" s="19">
        <v>2</v>
      </c>
      <c r="G13" s="40">
        <v>2007</v>
      </c>
      <c r="H13" s="40" t="s">
        <v>56</v>
      </c>
      <c r="I13" s="40" t="s">
        <v>25</v>
      </c>
      <c r="J13" s="40" t="s">
        <v>57</v>
      </c>
      <c r="K13" s="52" t="s">
        <v>58</v>
      </c>
    </row>
    <row r="14" spans="1:29" customFormat="1" ht="28">
      <c r="A14" s="1">
        <v>12</v>
      </c>
      <c r="B14" s="2" t="s">
        <v>13</v>
      </c>
      <c r="C14" s="4" t="s">
        <v>14</v>
      </c>
      <c r="D14" s="5" t="s">
        <v>15</v>
      </c>
      <c r="E14" s="5">
        <v>91700</v>
      </c>
      <c r="F14" s="3">
        <v>3</v>
      </c>
      <c r="G14" s="4">
        <v>2008</v>
      </c>
      <c r="H14" s="6" t="s">
        <v>59</v>
      </c>
      <c r="I14" s="4" t="s">
        <v>60</v>
      </c>
      <c r="J14" s="4" t="s">
        <v>61</v>
      </c>
      <c r="K14" s="7" t="s">
        <v>62</v>
      </c>
    </row>
    <row r="15" spans="1:29" ht="28">
      <c r="A15" s="49">
        <v>13</v>
      </c>
      <c r="B15" s="50" t="s">
        <v>13</v>
      </c>
      <c r="C15" s="40" t="s">
        <v>14</v>
      </c>
      <c r="D15" s="51" t="s">
        <v>15</v>
      </c>
      <c r="E15" s="51">
        <v>91700</v>
      </c>
      <c r="F15" s="19">
        <v>1</v>
      </c>
      <c r="G15" s="40">
        <v>2008</v>
      </c>
      <c r="H15" s="40" t="s">
        <v>63</v>
      </c>
      <c r="I15" s="22" t="s">
        <v>64</v>
      </c>
      <c r="J15" s="40" t="s">
        <v>65</v>
      </c>
      <c r="K15" s="52" t="s">
        <v>66</v>
      </c>
    </row>
    <row r="16" spans="1:29" ht="28">
      <c r="A16" s="49">
        <v>14</v>
      </c>
      <c r="B16" s="50" t="s">
        <v>13</v>
      </c>
      <c r="C16" s="40" t="s">
        <v>14</v>
      </c>
      <c r="D16" s="51" t="s">
        <v>15</v>
      </c>
      <c r="E16" s="51">
        <v>91700</v>
      </c>
      <c r="F16" s="19">
        <v>1</v>
      </c>
      <c r="G16" s="40">
        <v>2011</v>
      </c>
      <c r="H16" s="40" t="s">
        <v>67</v>
      </c>
      <c r="I16" s="40" t="s">
        <v>68</v>
      </c>
      <c r="J16" s="40" t="s">
        <v>69</v>
      </c>
      <c r="K16" s="52" t="s">
        <v>70</v>
      </c>
    </row>
    <row r="17" spans="1:11" customFormat="1" ht="28">
      <c r="A17" s="1">
        <v>15</v>
      </c>
      <c r="B17" s="2" t="s">
        <v>13</v>
      </c>
      <c r="C17" s="4" t="s">
        <v>14</v>
      </c>
      <c r="D17" s="5" t="s">
        <v>15</v>
      </c>
      <c r="E17" s="5">
        <v>91700</v>
      </c>
      <c r="F17" s="3">
        <v>4</v>
      </c>
      <c r="G17" s="4">
        <v>2006</v>
      </c>
      <c r="H17" s="6" t="s">
        <v>71</v>
      </c>
      <c r="I17" s="6" t="s">
        <v>72</v>
      </c>
      <c r="J17" s="4" t="s">
        <v>73</v>
      </c>
      <c r="K17" s="7" t="s">
        <v>74</v>
      </c>
    </row>
    <row r="18" spans="1:11" customFormat="1" ht="28">
      <c r="A18" s="1">
        <v>16</v>
      </c>
      <c r="B18" s="2" t="s">
        <v>13</v>
      </c>
      <c r="C18" s="4" t="s">
        <v>14</v>
      </c>
      <c r="D18" s="5" t="s">
        <v>15</v>
      </c>
      <c r="E18" s="5">
        <v>91700</v>
      </c>
      <c r="F18" s="3">
        <v>4</v>
      </c>
      <c r="G18" s="4">
        <v>2008</v>
      </c>
      <c r="H18" s="6" t="s">
        <v>75</v>
      </c>
      <c r="I18" s="4" t="s">
        <v>76</v>
      </c>
      <c r="J18" s="4" t="s">
        <v>77</v>
      </c>
      <c r="K18" s="7" t="s">
        <v>78</v>
      </c>
    </row>
    <row r="19" spans="1:11" ht="28">
      <c r="A19" s="49">
        <v>17</v>
      </c>
      <c r="B19" s="50" t="s">
        <v>13</v>
      </c>
      <c r="C19" s="40" t="s">
        <v>14</v>
      </c>
      <c r="D19" s="51" t="s">
        <v>15</v>
      </c>
      <c r="E19" s="51">
        <v>91700</v>
      </c>
      <c r="F19" s="19">
        <v>1</v>
      </c>
      <c r="G19" s="40">
        <v>2007</v>
      </c>
      <c r="H19" s="40" t="s">
        <v>79</v>
      </c>
      <c r="I19" s="40" t="s">
        <v>37</v>
      </c>
      <c r="J19" s="40" t="s">
        <v>80</v>
      </c>
      <c r="K19" s="52" t="s">
        <v>81</v>
      </c>
    </row>
    <row r="20" spans="1:11" ht="28">
      <c r="A20" s="49">
        <v>18</v>
      </c>
      <c r="B20" s="50" t="s">
        <v>13</v>
      </c>
      <c r="C20" s="40" t="s">
        <v>14</v>
      </c>
      <c r="D20" s="51" t="s">
        <v>15</v>
      </c>
      <c r="E20" s="51">
        <v>91700</v>
      </c>
      <c r="F20" s="19">
        <v>1</v>
      </c>
      <c r="G20" s="40">
        <v>2010</v>
      </c>
      <c r="H20" s="40" t="s">
        <v>82</v>
      </c>
      <c r="I20" s="22" t="s">
        <v>83</v>
      </c>
      <c r="J20" s="40" t="s">
        <v>84</v>
      </c>
      <c r="K20" s="52" t="s">
        <v>85</v>
      </c>
    </row>
    <row r="21" spans="1:11" ht="28">
      <c r="A21" s="49">
        <v>19</v>
      </c>
      <c r="B21" s="50" t="s">
        <v>13</v>
      </c>
      <c r="C21" s="40" t="s">
        <v>14</v>
      </c>
      <c r="D21" s="51" t="s">
        <v>15</v>
      </c>
      <c r="E21" s="51">
        <v>91700</v>
      </c>
      <c r="F21" s="19">
        <v>2</v>
      </c>
      <c r="G21" s="40">
        <v>2007</v>
      </c>
      <c r="H21" s="40" t="s">
        <v>86</v>
      </c>
      <c r="I21" s="40" t="s">
        <v>87</v>
      </c>
      <c r="J21" s="40" t="s">
        <v>18</v>
      </c>
      <c r="K21" s="52" t="s">
        <v>88</v>
      </c>
    </row>
    <row r="22" spans="1:11" customFormat="1" ht="28">
      <c r="A22" s="1">
        <v>20</v>
      </c>
      <c r="B22" s="2" t="s">
        <v>13</v>
      </c>
      <c r="C22" s="4" t="s">
        <v>14</v>
      </c>
      <c r="D22" s="5" t="s">
        <v>15</v>
      </c>
      <c r="E22" s="5">
        <v>91700</v>
      </c>
      <c r="F22" s="3">
        <v>3</v>
      </c>
      <c r="G22" s="4">
        <v>2006</v>
      </c>
      <c r="H22" s="6" t="s">
        <v>89</v>
      </c>
      <c r="I22" s="4" t="s">
        <v>90</v>
      </c>
      <c r="J22" s="4" t="s">
        <v>91</v>
      </c>
      <c r="K22" s="7" t="s">
        <v>92</v>
      </c>
    </row>
    <row r="23" spans="1:11" customFormat="1" ht="28">
      <c r="A23" s="1">
        <v>21</v>
      </c>
      <c r="B23" s="2" t="s">
        <v>13</v>
      </c>
      <c r="C23" s="4" t="s">
        <v>14</v>
      </c>
      <c r="D23" s="5" t="s">
        <v>15</v>
      </c>
      <c r="E23" s="5">
        <v>91700</v>
      </c>
      <c r="F23" s="3">
        <v>3</v>
      </c>
      <c r="G23" s="4">
        <v>2009</v>
      </c>
      <c r="H23" s="6" t="s">
        <v>93</v>
      </c>
      <c r="I23" s="4" t="s">
        <v>87</v>
      </c>
      <c r="J23" s="4" t="s">
        <v>94</v>
      </c>
      <c r="K23" s="7" t="s">
        <v>95</v>
      </c>
    </row>
    <row r="24" spans="1:11" customFormat="1" ht="28">
      <c r="A24" s="1">
        <v>22</v>
      </c>
      <c r="B24" s="2" t="s">
        <v>13</v>
      </c>
      <c r="C24" s="4" t="s">
        <v>14</v>
      </c>
      <c r="D24" s="5" t="s">
        <v>15</v>
      </c>
      <c r="E24" s="5">
        <v>91700</v>
      </c>
      <c r="F24" s="3">
        <v>3</v>
      </c>
      <c r="G24" s="4">
        <v>2012</v>
      </c>
      <c r="H24" s="6" t="s">
        <v>96</v>
      </c>
      <c r="I24" s="4" t="s">
        <v>21</v>
      </c>
      <c r="J24" s="4" t="s">
        <v>97</v>
      </c>
      <c r="K24" s="7" t="s">
        <v>98</v>
      </c>
    </row>
    <row r="25" spans="1:11" customFormat="1" ht="28">
      <c r="A25" s="1">
        <v>23</v>
      </c>
      <c r="B25" s="2" t="s">
        <v>13</v>
      </c>
      <c r="C25" s="4" t="s">
        <v>14</v>
      </c>
      <c r="D25" s="5" t="s">
        <v>15</v>
      </c>
      <c r="E25" s="5">
        <v>91700</v>
      </c>
      <c r="F25" s="3">
        <v>3</v>
      </c>
      <c r="G25" s="4">
        <v>2010</v>
      </c>
      <c r="H25" s="6" t="s">
        <v>99</v>
      </c>
      <c r="I25" s="4" t="s">
        <v>37</v>
      </c>
      <c r="J25" s="4" t="s">
        <v>100</v>
      </c>
      <c r="K25" s="7" t="s">
        <v>101</v>
      </c>
    </row>
    <row r="26" spans="1:11" customFormat="1" ht="28">
      <c r="A26" s="1">
        <v>24</v>
      </c>
      <c r="B26" s="2" t="s">
        <v>13</v>
      </c>
      <c r="C26" s="4" t="s">
        <v>14</v>
      </c>
      <c r="D26" s="5" t="s">
        <v>15</v>
      </c>
      <c r="E26" s="5">
        <v>91700</v>
      </c>
      <c r="F26" s="3">
        <v>3</v>
      </c>
      <c r="G26" s="4">
        <v>2010</v>
      </c>
      <c r="H26" s="6" t="s">
        <v>102</v>
      </c>
      <c r="I26" s="4" t="s">
        <v>103</v>
      </c>
      <c r="J26" s="4" t="s">
        <v>94</v>
      </c>
      <c r="K26" s="7" t="s">
        <v>104</v>
      </c>
    </row>
    <row r="27" spans="1:11" customFormat="1" ht="28">
      <c r="A27" s="1">
        <v>25</v>
      </c>
      <c r="B27" s="2" t="s">
        <v>13</v>
      </c>
      <c r="C27" s="4" t="s">
        <v>14</v>
      </c>
      <c r="D27" s="5" t="s">
        <v>15</v>
      </c>
      <c r="E27" s="5">
        <v>91700</v>
      </c>
      <c r="F27" s="3">
        <v>3</v>
      </c>
      <c r="G27" s="4">
        <v>2011</v>
      </c>
      <c r="H27" s="4" t="s">
        <v>105</v>
      </c>
      <c r="I27" s="4" t="s">
        <v>106</v>
      </c>
      <c r="J27" s="4" t="s">
        <v>107</v>
      </c>
      <c r="K27" s="7" t="s">
        <v>108</v>
      </c>
    </row>
    <row r="28" spans="1:11" customFormat="1" ht="28">
      <c r="A28" s="1">
        <v>26</v>
      </c>
      <c r="B28" s="2" t="s">
        <v>13</v>
      </c>
      <c r="C28" s="4" t="s">
        <v>14</v>
      </c>
      <c r="D28" s="5" t="s">
        <v>15</v>
      </c>
      <c r="E28" s="5">
        <v>91700</v>
      </c>
      <c r="F28" s="3">
        <v>3</v>
      </c>
      <c r="G28" s="4">
        <v>2012</v>
      </c>
      <c r="H28" s="4" t="s">
        <v>109</v>
      </c>
      <c r="I28" s="4" t="s">
        <v>110</v>
      </c>
      <c r="J28" s="4" t="s">
        <v>111</v>
      </c>
      <c r="K28" s="7" t="s">
        <v>112</v>
      </c>
    </row>
    <row r="29" spans="1:11" customFormat="1" ht="28">
      <c r="A29" s="1">
        <v>27</v>
      </c>
      <c r="B29" s="2" t="s">
        <v>13</v>
      </c>
      <c r="C29" s="4" t="s">
        <v>14</v>
      </c>
      <c r="D29" s="5" t="s">
        <v>15</v>
      </c>
      <c r="E29" s="5">
        <v>91700</v>
      </c>
      <c r="F29" s="3">
        <v>3</v>
      </c>
      <c r="G29" s="4">
        <v>2008</v>
      </c>
      <c r="H29" s="6" t="s">
        <v>113</v>
      </c>
      <c r="I29" s="9" t="s">
        <v>114</v>
      </c>
      <c r="J29" s="4" t="s">
        <v>115</v>
      </c>
      <c r="K29" s="7" t="s">
        <v>116</v>
      </c>
    </row>
    <row r="30" spans="1:11" ht="28">
      <c r="A30" s="49">
        <v>28</v>
      </c>
      <c r="B30" s="50" t="s">
        <v>13</v>
      </c>
      <c r="C30" s="40" t="s">
        <v>14</v>
      </c>
      <c r="D30" s="51" t="s">
        <v>15</v>
      </c>
      <c r="E30" s="51">
        <v>91700</v>
      </c>
      <c r="F30" s="19">
        <v>1</v>
      </c>
      <c r="G30" s="40">
        <v>2010</v>
      </c>
      <c r="H30" s="40" t="s">
        <v>117</v>
      </c>
      <c r="I30" s="22" t="s">
        <v>37</v>
      </c>
      <c r="J30" s="40" t="s">
        <v>118</v>
      </c>
      <c r="K30" s="52" t="s">
        <v>119</v>
      </c>
    </row>
    <row r="31" spans="1:11" ht="28">
      <c r="A31" s="49">
        <v>29</v>
      </c>
      <c r="B31" s="50" t="s">
        <v>13</v>
      </c>
      <c r="C31" s="40" t="s">
        <v>14</v>
      </c>
      <c r="D31" s="51" t="s">
        <v>15</v>
      </c>
      <c r="E31" s="51">
        <v>91700</v>
      </c>
      <c r="F31" s="19">
        <v>1</v>
      </c>
      <c r="G31" s="40">
        <v>2012</v>
      </c>
      <c r="H31" s="40" t="s">
        <v>120</v>
      </c>
      <c r="I31" s="40" t="s">
        <v>121</v>
      </c>
      <c r="J31" s="40" t="s">
        <v>122</v>
      </c>
      <c r="K31" s="52" t="s">
        <v>123</v>
      </c>
    </row>
    <row r="32" spans="1:11" customFormat="1" ht="28">
      <c r="A32" s="1">
        <v>30</v>
      </c>
      <c r="B32" s="2" t="s">
        <v>13</v>
      </c>
      <c r="C32" s="4" t="s">
        <v>14</v>
      </c>
      <c r="D32" s="5" t="s">
        <v>15</v>
      </c>
      <c r="E32" s="5">
        <v>91700</v>
      </c>
      <c r="F32" s="3">
        <v>3</v>
      </c>
      <c r="G32" s="4">
        <v>2009</v>
      </c>
      <c r="H32" s="6" t="s">
        <v>124</v>
      </c>
      <c r="I32" s="4" t="s">
        <v>37</v>
      </c>
      <c r="J32" s="4" t="s">
        <v>125</v>
      </c>
      <c r="K32" s="7" t="s">
        <v>126</v>
      </c>
    </row>
    <row r="33" spans="1:11" customFormat="1" ht="28">
      <c r="A33" s="1">
        <v>31</v>
      </c>
      <c r="B33" s="2" t="s">
        <v>13</v>
      </c>
      <c r="C33" s="4" t="s">
        <v>14</v>
      </c>
      <c r="D33" s="5" t="s">
        <v>15</v>
      </c>
      <c r="E33" s="5">
        <v>91700</v>
      </c>
      <c r="F33" s="3">
        <v>3</v>
      </c>
      <c r="G33" s="4">
        <v>2010</v>
      </c>
      <c r="H33" s="6" t="s">
        <v>127</v>
      </c>
      <c r="I33" s="4" t="s">
        <v>37</v>
      </c>
      <c r="J33" s="4" t="s">
        <v>128</v>
      </c>
      <c r="K33" s="7" t="s">
        <v>129</v>
      </c>
    </row>
    <row r="34" spans="1:11" customFormat="1" ht="28">
      <c r="A34" s="1">
        <v>32</v>
      </c>
      <c r="B34" s="2" t="s">
        <v>13</v>
      </c>
      <c r="C34" s="4" t="s">
        <v>14</v>
      </c>
      <c r="D34" s="5" t="s">
        <v>15</v>
      </c>
      <c r="E34" s="5">
        <v>91700</v>
      </c>
      <c r="F34" s="3">
        <v>4</v>
      </c>
      <c r="G34" s="4">
        <v>2010</v>
      </c>
      <c r="H34" s="6" t="s">
        <v>130</v>
      </c>
      <c r="I34" s="4" t="s">
        <v>90</v>
      </c>
      <c r="J34" s="4" t="s">
        <v>131</v>
      </c>
      <c r="K34" s="7" t="s">
        <v>132</v>
      </c>
    </row>
    <row r="35" spans="1:11" ht="28">
      <c r="A35" s="49">
        <v>33</v>
      </c>
      <c r="B35" s="50" t="s">
        <v>13</v>
      </c>
      <c r="C35" s="40" t="s">
        <v>14</v>
      </c>
      <c r="D35" s="51" t="s">
        <v>15</v>
      </c>
      <c r="E35" s="51">
        <v>91700</v>
      </c>
      <c r="F35" s="19">
        <v>1</v>
      </c>
      <c r="G35" s="40">
        <v>2010</v>
      </c>
      <c r="H35" s="40" t="s">
        <v>133</v>
      </c>
      <c r="I35" s="40" t="s">
        <v>134</v>
      </c>
      <c r="J35" s="40" t="s">
        <v>135</v>
      </c>
      <c r="K35" s="52" t="s">
        <v>136</v>
      </c>
    </row>
    <row r="36" spans="1:11" ht="28">
      <c r="A36" s="49">
        <v>34</v>
      </c>
      <c r="B36" s="50" t="s">
        <v>13</v>
      </c>
      <c r="C36" s="40" t="s">
        <v>14</v>
      </c>
      <c r="D36" s="51" t="s">
        <v>15</v>
      </c>
      <c r="E36" s="51">
        <v>91700</v>
      </c>
      <c r="F36" s="19">
        <v>1</v>
      </c>
      <c r="G36" s="40">
        <v>2008</v>
      </c>
      <c r="H36" s="40" t="s">
        <v>137</v>
      </c>
      <c r="I36" s="22" t="s">
        <v>37</v>
      </c>
      <c r="J36" s="40" t="s">
        <v>138</v>
      </c>
      <c r="K36" s="52" t="s">
        <v>139</v>
      </c>
    </row>
    <row r="37" spans="1:11" ht="28">
      <c r="A37" s="49">
        <v>35</v>
      </c>
      <c r="B37" s="50" t="s">
        <v>13</v>
      </c>
      <c r="C37" s="40" t="s">
        <v>14</v>
      </c>
      <c r="D37" s="51" t="s">
        <v>15</v>
      </c>
      <c r="E37" s="51">
        <v>91700</v>
      </c>
      <c r="F37" s="19">
        <v>3</v>
      </c>
      <c r="G37" s="40">
        <v>2010</v>
      </c>
      <c r="H37" s="40" t="s">
        <v>140</v>
      </c>
      <c r="I37" s="40" t="s">
        <v>87</v>
      </c>
      <c r="J37" s="40" t="s">
        <v>94</v>
      </c>
      <c r="K37" s="52" t="s">
        <v>141</v>
      </c>
    </row>
    <row r="38" spans="1:11" ht="28">
      <c r="A38" s="49">
        <v>36</v>
      </c>
      <c r="B38" s="50" t="s">
        <v>13</v>
      </c>
      <c r="C38" s="40" t="s">
        <v>14</v>
      </c>
      <c r="D38" s="51" t="s">
        <v>15</v>
      </c>
      <c r="E38" s="51">
        <v>91700</v>
      </c>
      <c r="F38" s="19">
        <v>1</v>
      </c>
      <c r="G38" s="40">
        <v>2006</v>
      </c>
      <c r="H38" s="40" t="s">
        <v>142</v>
      </c>
      <c r="I38" s="22" t="s">
        <v>143</v>
      </c>
      <c r="J38" s="40" t="s">
        <v>144</v>
      </c>
      <c r="K38" s="52" t="s">
        <v>145</v>
      </c>
    </row>
    <row r="39" spans="1:11" customFormat="1" ht="28">
      <c r="A39" s="1">
        <v>37</v>
      </c>
      <c r="B39" s="2" t="s">
        <v>13</v>
      </c>
      <c r="C39" s="4" t="s">
        <v>14</v>
      </c>
      <c r="D39" s="5" t="s">
        <v>15</v>
      </c>
      <c r="E39" s="5">
        <v>91700</v>
      </c>
      <c r="F39" s="3">
        <v>4</v>
      </c>
      <c r="G39" s="4">
        <v>2011</v>
      </c>
      <c r="H39" s="6" t="s">
        <v>146</v>
      </c>
      <c r="I39" s="4" t="s">
        <v>147</v>
      </c>
      <c r="J39" s="6" t="s">
        <v>148</v>
      </c>
      <c r="K39" s="7" t="s">
        <v>149</v>
      </c>
    </row>
    <row r="40" spans="1:11" customFormat="1" ht="28">
      <c r="A40" s="1">
        <v>38</v>
      </c>
      <c r="B40" s="2" t="s">
        <v>13</v>
      </c>
      <c r="C40" s="4" t="s">
        <v>14</v>
      </c>
      <c r="D40" s="5" t="s">
        <v>15</v>
      </c>
      <c r="E40" s="5">
        <v>91700</v>
      </c>
      <c r="F40" s="3">
        <v>3</v>
      </c>
      <c r="G40" s="4">
        <v>2008</v>
      </c>
      <c r="H40" s="6" t="s">
        <v>150</v>
      </c>
      <c r="I40" s="4" t="s">
        <v>151</v>
      </c>
      <c r="J40" s="4" t="s">
        <v>152</v>
      </c>
      <c r="K40" s="7" t="s">
        <v>153</v>
      </c>
    </row>
    <row r="41" spans="1:11" customFormat="1" ht="28">
      <c r="A41" s="1">
        <v>39</v>
      </c>
      <c r="B41" s="2" t="s">
        <v>13</v>
      </c>
      <c r="C41" s="4" t="s">
        <v>14</v>
      </c>
      <c r="D41" s="5" t="s">
        <v>15</v>
      </c>
      <c r="E41" s="5">
        <v>91700</v>
      </c>
      <c r="F41" s="3">
        <v>3</v>
      </c>
      <c r="G41" s="4">
        <v>2007</v>
      </c>
      <c r="H41" s="6" t="s">
        <v>154</v>
      </c>
      <c r="I41" s="9" t="s">
        <v>90</v>
      </c>
      <c r="J41" s="4" t="s">
        <v>155</v>
      </c>
      <c r="K41" s="7" t="s">
        <v>156</v>
      </c>
    </row>
    <row r="42" spans="1:11" ht="28">
      <c r="A42" s="49">
        <v>40</v>
      </c>
      <c r="B42" s="50" t="s">
        <v>13</v>
      </c>
      <c r="C42" s="40" t="s">
        <v>14</v>
      </c>
      <c r="D42" s="51" t="s">
        <v>15</v>
      </c>
      <c r="E42" s="51">
        <v>91700</v>
      </c>
      <c r="F42" s="19">
        <v>3</v>
      </c>
      <c r="G42" s="40">
        <v>2012</v>
      </c>
      <c r="H42" s="40" t="s">
        <v>157</v>
      </c>
      <c r="I42" s="22" t="s">
        <v>64</v>
      </c>
      <c r="J42" s="40" t="s">
        <v>158</v>
      </c>
      <c r="K42" s="52" t="s">
        <v>159</v>
      </c>
    </row>
    <row r="43" spans="1:11" customFormat="1" ht="28">
      <c r="A43" s="1">
        <v>41</v>
      </c>
      <c r="B43" s="2" t="s">
        <v>13</v>
      </c>
      <c r="C43" s="4" t="s">
        <v>14</v>
      </c>
      <c r="D43" s="5" t="s">
        <v>15</v>
      </c>
      <c r="E43" s="5">
        <v>91700</v>
      </c>
      <c r="F43" s="3">
        <v>3</v>
      </c>
      <c r="G43" s="4">
        <v>2007</v>
      </c>
      <c r="H43" s="6" t="s">
        <v>160</v>
      </c>
      <c r="I43" s="9" t="s">
        <v>143</v>
      </c>
      <c r="J43" s="4" t="s">
        <v>161</v>
      </c>
      <c r="K43" s="7" t="s">
        <v>162</v>
      </c>
    </row>
    <row r="44" spans="1:11" customFormat="1" ht="28">
      <c r="A44" s="1">
        <v>42</v>
      </c>
      <c r="B44" s="2" t="s">
        <v>13</v>
      </c>
      <c r="C44" s="4" t="s">
        <v>14</v>
      </c>
      <c r="D44" s="5" t="s">
        <v>15</v>
      </c>
      <c r="E44" s="5">
        <v>91700</v>
      </c>
      <c r="F44" s="3">
        <v>4</v>
      </c>
      <c r="G44" s="4">
        <v>2012</v>
      </c>
      <c r="H44" s="6" t="s">
        <v>163</v>
      </c>
      <c r="I44" s="4" t="s">
        <v>60</v>
      </c>
      <c r="J44" s="4" t="s">
        <v>164</v>
      </c>
      <c r="K44" s="7" t="s">
        <v>165</v>
      </c>
    </row>
    <row r="45" spans="1:11" customFormat="1" ht="28">
      <c r="A45" s="1">
        <v>43</v>
      </c>
      <c r="B45" s="2" t="s">
        <v>13</v>
      </c>
      <c r="C45" s="4" t="s">
        <v>14</v>
      </c>
      <c r="D45" s="5" t="s">
        <v>15</v>
      </c>
      <c r="E45" s="5">
        <v>91700</v>
      </c>
      <c r="F45" s="3">
        <v>3</v>
      </c>
      <c r="G45" s="4">
        <v>2009</v>
      </c>
      <c r="H45" s="6" t="s">
        <v>166</v>
      </c>
      <c r="I45" s="4" t="s">
        <v>167</v>
      </c>
      <c r="J45" s="4" t="s">
        <v>152</v>
      </c>
      <c r="K45" s="7" t="s">
        <v>168</v>
      </c>
    </row>
    <row r="46" spans="1:11" customFormat="1" ht="28">
      <c r="A46" s="1">
        <v>44</v>
      </c>
      <c r="B46" s="2" t="s">
        <v>13</v>
      </c>
      <c r="C46" s="4" t="s">
        <v>14</v>
      </c>
      <c r="D46" s="5" t="s">
        <v>15</v>
      </c>
      <c r="E46" s="5">
        <v>91700</v>
      </c>
      <c r="F46" s="3">
        <v>3</v>
      </c>
      <c r="G46" s="4">
        <v>2007</v>
      </c>
      <c r="H46" s="6" t="s">
        <v>169</v>
      </c>
      <c r="I46" s="4" t="s">
        <v>170</v>
      </c>
      <c r="J46" s="4" t="s">
        <v>171</v>
      </c>
      <c r="K46" s="7" t="s">
        <v>172</v>
      </c>
    </row>
    <row r="47" spans="1:11" ht="28">
      <c r="A47" s="49">
        <v>45</v>
      </c>
      <c r="B47" s="50" t="s">
        <v>13</v>
      </c>
      <c r="C47" s="40" t="s">
        <v>14</v>
      </c>
      <c r="D47" s="51" t="s">
        <v>15</v>
      </c>
      <c r="E47" s="51">
        <v>91700</v>
      </c>
      <c r="F47" s="19">
        <v>1</v>
      </c>
      <c r="G47" s="40">
        <v>2013</v>
      </c>
      <c r="H47" s="40" t="s">
        <v>173</v>
      </c>
      <c r="I47" s="40" t="s">
        <v>174</v>
      </c>
      <c r="J47" s="40" t="s">
        <v>175</v>
      </c>
      <c r="K47" s="52" t="s">
        <v>176</v>
      </c>
    </row>
    <row r="48" spans="1:11" ht="28">
      <c r="A48" s="49">
        <v>46</v>
      </c>
      <c r="B48" s="50" t="s">
        <v>13</v>
      </c>
      <c r="C48" s="40" t="s">
        <v>14</v>
      </c>
      <c r="D48" s="51" t="s">
        <v>15</v>
      </c>
      <c r="E48" s="51">
        <v>91700</v>
      </c>
      <c r="F48" s="19">
        <v>3</v>
      </c>
      <c r="G48" s="40">
        <v>2010</v>
      </c>
      <c r="H48" s="40" t="s">
        <v>177</v>
      </c>
      <c r="I48" s="40" t="s">
        <v>60</v>
      </c>
      <c r="J48" s="40" t="s">
        <v>178</v>
      </c>
      <c r="K48" s="52" t="s">
        <v>179</v>
      </c>
    </row>
    <row r="49" spans="1:11" customFormat="1" ht="28">
      <c r="A49" s="1">
        <v>47</v>
      </c>
      <c r="B49" s="2" t="s">
        <v>13</v>
      </c>
      <c r="C49" s="4" t="s">
        <v>14</v>
      </c>
      <c r="D49" s="5" t="s">
        <v>15</v>
      </c>
      <c r="E49" s="5">
        <v>91700</v>
      </c>
      <c r="F49" s="3">
        <v>3</v>
      </c>
      <c r="G49" s="4">
        <v>2013</v>
      </c>
      <c r="H49" s="6" t="s">
        <v>180</v>
      </c>
      <c r="I49" s="4" t="s">
        <v>181</v>
      </c>
      <c r="J49" s="4" t="s">
        <v>182</v>
      </c>
      <c r="K49" s="7" t="s">
        <v>183</v>
      </c>
    </row>
    <row r="50" spans="1:11" customFormat="1" ht="28">
      <c r="A50" s="1">
        <v>48</v>
      </c>
      <c r="B50" s="2" t="s">
        <v>13</v>
      </c>
      <c r="C50" s="4" t="s">
        <v>14</v>
      </c>
      <c r="D50" s="5" t="s">
        <v>15</v>
      </c>
      <c r="E50" s="5">
        <v>91700</v>
      </c>
      <c r="F50" s="3">
        <v>4</v>
      </c>
      <c r="G50" s="4">
        <v>2010</v>
      </c>
      <c r="H50" s="6" t="s">
        <v>184</v>
      </c>
      <c r="I50" s="4" t="s">
        <v>185</v>
      </c>
      <c r="J50" s="4" t="s">
        <v>186</v>
      </c>
      <c r="K50" s="7" t="s">
        <v>187</v>
      </c>
    </row>
    <row r="51" spans="1:11" customFormat="1" ht="28">
      <c r="A51" s="1">
        <v>49</v>
      </c>
      <c r="B51" s="2" t="s">
        <v>13</v>
      </c>
      <c r="C51" s="4" t="s">
        <v>14</v>
      </c>
      <c r="D51" s="5" t="s">
        <v>15</v>
      </c>
      <c r="E51" s="5">
        <v>91700</v>
      </c>
      <c r="F51" s="3">
        <v>3</v>
      </c>
      <c r="G51" s="4">
        <v>2009</v>
      </c>
      <c r="H51" s="6" t="s">
        <v>188</v>
      </c>
      <c r="I51" s="4" t="s">
        <v>189</v>
      </c>
      <c r="J51" s="4" t="s">
        <v>190</v>
      </c>
      <c r="K51" s="7" t="s">
        <v>191</v>
      </c>
    </row>
    <row r="52" spans="1:11" ht="28">
      <c r="A52" s="49">
        <v>50</v>
      </c>
      <c r="B52" s="50" t="s">
        <v>13</v>
      </c>
      <c r="C52" s="40" t="s">
        <v>14</v>
      </c>
      <c r="D52" s="51" t="s">
        <v>15</v>
      </c>
      <c r="E52" s="51">
        <v>91700</v>
      </c>
      <c r="F52" s="19">
        <v>1</v>
      </c>
      <c r="G52" s="40">
        <v>2007</v>
      </c>
      <c r="H52" s="40" t="s">
        <v>192</v>
      </c>
      <c r="I52" s="22" t="s">
        <v>114</v>
      </c>
      <c r="J52" s="40" t="s">
        <v>193</v>
      </c>
      <c r="K52" s="52" t="s">
        <v>194</v>
      </c>
    </row>
    <row r="53" spans="1:11" customFormat="1" ht="28">
      <c r="A53" s="1">
        <v>51</v>
      </c>
      <c r="B53" s="2" t="s">
        <v>13</v>
      </c>
      <c r="C53" s="4" t="s">
        <v>14</v>
      </c>
      <c r="D53" s="5" t="s">
        <v>15</v>
      </c>
      <c r="E53" s="5">
        <v>91700</v>
      </c>
      <c r="F53" s="3">
        <v>3</v>
      </c>
      <c r="G53" s="4">
        <v>2009</v>
      </c>
      <c r="H53" s="6" t="s">
        <v>195</v>
      </c>
      <c r="I53" s="4" t="s">
        <v>196</v>
      </c>
      <c r="J53" s="4" t="s">
        <v>197</v>
      </c>
      <c r="K53" s="7" t="s">
        <v>198</v>
      </c>
    </row>
    <row r="54" spans="1:11" ht="28">
      <c r="A54" s="49">
        <v>52</v>
      </c>
      <c r="B54" s="50" t="s">
        <v>13</v>
      </c>
      <c r="C54" s="40" t="s">
        <v>14</v>
      </c>
      <c r="D54" s="51" t="s">
        <v>15</v>
      </c>
      <c r="E54" s="51">
        <v>91700</v>
      </c>
      <c r="F54" s="19">
        <v>2</v>
      </c>
      <c r="G54" s="40">
        <v>2010</v>
      </c>
      <c r="H54" s="40" t="s">
        <v>199</v>
      </c>
      <c r="I54" s="40" t="s">
        <v>37</v>
      </c>
      <c r="J54" s="40" t="s">
        <v>200</v>
      </c>
      <c r="K54" s="52" t="s">
        <v>201</v>
      </c>
    </row>
    <row r="55" spans="1:11" ht="28">
      <c r="A55" s="49">
        <v>53</v>
      </c>
      <c r="B55" s="50" t="s">
        <v>13</v>
      </c>
      <c r="C55" s="40" t="s">
        <v>14</v>
      </c>
      <c r="D55" s="51" t="s">
        <v>15</v>
      </c>
      <c r="E55" s="51">
        <v>91700</v>
      </c>
      <c r="F55" s="19">
        <v>1</v>
      </c>
      <c r="G55" s="40">
        <v>2009</v>
      </c>
      <c r="H55" s="40" t="s">
        <v>202</v>
      </c>
      <c r="I55" s="40" t="s">
        <v>203</v>
      </c>
      <c r="J55" s="40" t="s">
        <v>204</v>
      </c>
      <c r="K55" s="52" t="s">
        <v>205</v>
      </c>
    </row>
    <row r="56" spans="1:11" customFormat="1" ht="28">
      <c r="A56" s="1">
        <v>54</v>
      </c>
      <c r="B56" s="2" t="s">
        <v>13</v>
      </c>
      <c r="C56" s="4" t="s">
        <v>14</v>
      </c>
      <c r="D56" s="5" t="s">
        <v>15</v>
      </c>
      <c r="E56" s="5">
        <v>91700</v>
      </c>
      <c r="F56" s="3">
        <v>3</v>
      </c>
      <c r="G56" s="4">
        <v>2012</v>
      </c>
      <c r="H56" s="6" t="s">
        <v>206</v>
      </c>
      <c r="I56" s="4" t="s">
        <v>60</v>
      </c>
      <c r="J56" s="4" t="s">
        <v>175</v>
      </c>
      <c r="K56" s="7" t="s">
        <v>207</v>
      </c>
    </row>
    <row r="57" spans="1:11" ht="28">
      <c r="A57" s="49">
        <v>55</v>
      </c>
      <c r="B57" s="50" t="s">
        <v>13</v>
      </c>
      <c r="C57" s="40" t="s">
        <v>14</v>
      </c>
      <c r="D57" s="51" t="s">
        <v>15</v>
      </c>
      <c r="E57" s="51">
        <v>91700</v>
      </c>
      <c r="F57" s="19">
        <v>1</v>
      </c>
      <c r="G57" s="40">
        <v>2009</v>
      </c>
      <c r="H57" s="40" t="s">
        <v>208</v>
      </c>
      <c r="I57" s="40" t="s">
        <v>209</v>
      </c>
      <c r="J57" s="40" t="s">
        <v>210</v>
      </c>
      <c r="K57" s="52" t="s">
        <v>211</v>
      </c>
    </row>
    <row r="58" spans="1:11" customFormat="1" ht="28">
      <c r="A58" s="1">
        <v>56</v>
      </c>
      <c r="B58" s="2" t="s">
        <v>13</v>
      </c>
      <c r="C58" s="4" t="s">
        <v>14</v>
      </c>
      <c r="D58" s="5" t="s">
        <v>15</v>
      </c>
      <c r="E58" s="5">
        <v>91700</v>
      </c>
      <c r="F58" s="3">
        <v>4</v>
      </c>
      <c r="G58" s="4">
        <v>2007</v>
      </c>
      <c r="H58" s="6" t="s">
        <v>212</v>
      </c>
      <c r="I58" s="4" t="s">
        <v>213</v>
      </c>
      <c r="J58" s="4" t="s">
        <v>214</v>
      </c>
      <c r="K58" s="7" t="s">
        <v>215</v>
      </c>
    </row>
    <row r="59" spans="1:11" customFormat="1" ht="28">
      <c r="A59" s="1">
        <v>57</v>
      </c>
      <c r="B59" s="2" t="s">
        <v>13</v>
      </c>
      <c r="C59" s="4" t="s">
        <v>14</v>
      </c>
      <c r="D59" s="5" t="s">
        <v>15</v>
      </c>
      <c r="E59" s="5">
        <v>91700</v>
      </c>
      <c r="F59" s="3">
        <v>3</v>
      </c>
      <c r="G59" s="4">
        <v>2011</v>
      </c>
      <c r="H59" s="6" t="s">
        <v>216</v>
      </c>
      <c r="I59" s="9" t="s">
        <v>37</v>
      </c>
      <c r="J59" s="4" t="s">
        <v>217</v>
      </c>
      <c r="K59" s="7" t="s">
        <v>218</v>
      </c>
    </row>
    <row r="60" spans="1:11" customFormat="1" ht="28">
      <c r="A60" s="1">
        <v>58</v>
      </c>
      <c r="B60" s="2" t="s">
        <v>13</v>
      </c>
      <c r="C60" s="4" t="s">
        <v>14</v>
      </c>
      <c r="D60" s="5" t="s">
        <v>15</v>
      </c>
      <c r="E60" s="5">
        <v>91700</v>
      </c>
      <c r="F60" s="3">
        <v>4</v>
      </c>
      <c r="G60" s="4">
        <v>2010</v>
      </c>
      <c r="H60" s="6" t="s">
        <v>219</v>
      </c>
      <c r="I60" s="4" t="s">
        <v>220</v>
      </c>
      <c r="J60" s="4" t="s">
        <v>221</v>
      </c>
      <c r="K60" s="7" t="s">
        <v>222</v>
      </c>
    </row>
    <row r="61" spans="1:11" ht="28">
      <c r="A61" s="49">
        <v>59</v>
      </c>
      <c r="B61" s="50" t="s">
        <v>13</v>
      </c>
      <c r="C61" s="40" t="s">
        <v>14</v>
      </c>
      <c r="D61" s="51" t="s">
        <v>15</v>
      </c>
      <c r="E61" s="51">
        <v>91700</v>
      </c>
      <c r="F61" s="19">
        <v>2</v>
      </c>
      <c r="G61" s="40">
        <v>2013</v>
      </c>
      <c r="H61" s="40" t="s">
        <v>223</v>
      </c>
      <c r="I61" s="22" t="s">
        <v>143</v>
      </c>
      <c r="J61" s="40" t="s">
        <v>224</v>
      </c>
      <c r="K61" s="52" t="s">
        <v>225</v>
      </c>
    </row>
    <row r="62" spans="1:11" customFormat="1" ht="28">
      <c r="A62" s="1">
        <v>60</v>
      </c>
      <c r="B62" s="2" t="s">
        <v>13</v>
      </c>
      <c r="C62" s="4" t="s">
        <v>14</v>
      </c>
      <c r="D62" s="5" t="s">
        <v>15</v>
      </c>
      <c r="E62" s="5">
        <v>91700</v>
      </c>
      <c r="F62" s="3">
        <v>4</v>
      </c>
      <c r="G62" s="4">
        <v>2010</v>
      </c>
      <c r="H62" s="6" t="s">
        <v>226</v>
      </c>
      <c r="I62" s="4" t="s">
        <v>25</v>
      </c>
      <c r="J62" s="4" t="s">
        <v>227</v>
      </c>
      <c r="K62" s="7" t="s">
        <v>228</v>
      </c>
    </row>
    <row r="63" spans="1:11" ht="28">
      <c r="A63" s="49">
        <v>61</v>
      </c>
      <c r="B63" s="50" t="s">
        <v>13</v>
      </c>
      <c r="C63" s="40" t="s">
        <v>14</v>
      </c>
      <c r="D63" s="51" t="s">
        <v>15</v>
      </c>
      <c r="E63" s="51">
        <v>91700</v>
      </c>
      <c r="F63" s="19">
        <v>2</v>
      </c>
      <c r="G63" s="40">
        <v>2008</v>
      </c>
      <c r="H63" s="40" t="s">
        <v>229</v>
      </c>
      <c r="I63" s="22" t="s">
        <v>230</v>
      </c>
      <c r="J63" s="40" t="s">
        <v>231</v>
      </c>
      <c r="K63" s="52" t="s">
        <v>232</v>
      </c>
    </row>
    <row r="64" spans="1:11" customFormat="1" ht="28">
      <c r="A64" s="1">
        <v>62</v>
      </c>
      <c r="B64" s="2" t="s">
        <v>13</v>
      </c>
      <c r="C64" s="4" t="s">
        <v>14</v>
      </c>
      <c r="D64" s="5" t="s">
        <v>15</v>
      </c>
      <c r="E64" s="5">
        <v>91700</v>
      </c>
      <c r="F64" s="3">
        <v>4</v>
      </c>
      <c r="G64" s="4">
        <v>2006</v>
      </c>
      <c r="H64" s="6" t="s">
        <v>233</v>
      </c>
      <c r="I64" s="4" t="s">
        <v>234</v>
      </c>
      <c r="J64" s="4" t="s">
        <v>235</v>
      </c>
      <c r="K64" s="7" t="s">
        <v>236</v>
      </c>
    </row>
    <row r="65" spans="1:11" customFormat="1" ht="28">
      <c r="A65" s="1">
        <v>63</v>
      </c>
      <c r="B65" s="2" t="s">
        <v>13</v>
      </c>
      <c r="C65" s="4" t="s">
        <v>14</v>
      </c>
      <c r="D65" s="5" t="s">
        <v>15</v>
      </c>
      <c r="E65" s="5">
        <v>91700</v>
      </c>
      <c r="F65" s="3">
        <v>4</v>
      </c>
      <c r="G65" s="4">
        <v>2013</v>
      </c>
      <c r="H65" s="6" t="s">
        <v>237</v>
      </c>
      <c r="I65" s="4" t="s">
        <v>238</v>
      </c>
      <c r="J65" s="4" t="s">
        <v>239</v>
      </c>
      <c r="K65" s="7" t="s">
        <v>240</v>
      </c>
    </row>
    <row r="66" spans="1:11" customFormat="1" ht="28">
      <c r="A66" s="1">
        <v>64</v>
      </c>
      <c r="B66" s="2" t="s">
        <v>13</v>
      </c>
      <c r="C66" s="4" t="s">
        <v>14</v>
      </c>
      <c r="D66" s="5" t="s">
        <v>15</v>
      </c>
      <c r="E66" s="5">
        <v>91700</v>
      </c>
      <c r="F66" s="3">
        <v>3</v>
      </c>
      <c r="G66" s="4">
        <v>2008</v>
      </c>
      <c r="H66" s="6" t="s">
        <v>241</v>
      </c>
      <c r="I66" s="4" t="s">
        <v>37</v>
      </c>
      <c r="J66" s="4" t="s">
        <v>242</v>
      </c>
      <c r="K66" s="7" t="s">
        <v>243</v>
      </c>
    </row>
    <row r="67" spans="1:11" ht="28">
      <c r="A67" s="49">
        <v>65</v>
      </c>
      <c r="B67" s="50" t="s">
        <v>13</v>
      </c>
      <c r="C67" s="40" t="s">
        <v>14</v>
      </c>
      <c r="D67" s="51" t="s">
        <v>15</v>
      </c>
      <c r="E67" s="51">
        <v>91700</v>
      </c>
      <c r="F67" s="19">
        <v>1</v>
      </c>
      <c r="G67" s="40">
        <v>2007</v>
      </c>
      <c r="H67" s="40" t="s">
        <v>244</v>
      </c>
      <c r="I67" s="40" t="s">
        <v>87</v>
      </c>
      <c r="J67" s="40" t="s">
        <v>144</v>
      </c>
      <c r="K67" s="52" t="s">
        <v>245</v>
      </c>
    </row>
    <row r="68" spans="1:11" customFormat="1" ht="28">
      <c r="A68" s="1">
        <v>66</v>
      </c>
      <c r="B68" s="2" t="s">
        <v>13</v>
      </c>
      <c r="C68" s="4" t="s">
        <v>14</v>
      </c>
      <c r="D68" s="5" t="s">
        <v>15</v>
      </c>
      <c r="E68" s="5">
        <v>91700</v>
      </c>
      <c r="F68" s="3">
        <v>3</v>
      </c>
      <c r="G68" s="4">
        <v>2007</v>
      </c>
      <c r="H68" s="6" t="s">
        <v>246</v>
      </c>
      <c r="I68" s="4" t="s">
        <v>60</v>
      </c>
      <c r="J68" s="4" t="s">
        <v>247</v>
      </c>
      <c r="K68" s="7" t="s">
        <v>248</v>
      </c>
    </row>
    <row r="69" spans="1:11" customFormat="1" ht="28">
      <c r="A69" s="1">
        <v>67</v>
      </c>
      <c r="B69" s="2" t="s">
        <v>13</v>
      </c>
      <c r="C69" s="4" t="s">
        <v>14</v>
      </c>
      <c r="D69" s="5" t="s">
        <v>15</v>
      </c>
      <c r="E69" s="5">
        <v>91700</v>
      </c>
      <c r="F69" s="3">
        <v>3</v>
      </c>
      <c r="G69" s="4">
        <v>2009</v>
      </c>
      <c r="H69" s="6" t="s">
        <v>249</v>
      </c>
      <c r="I69" s="4" t="s">
        <v>250</v>
      </c>
      <c r="J69" s="4" t="s">
        <v>251</v>
      </c>
      <c r="K69" s="7" t="s">
        <v>252</v>
      </c>
    </row>
    <row r="70" spans="1:11" customFormat="1" ht="28">
      <c r="A70" s="1">
        <v>68</v>
      </c>
      <c r="B70" s="2" t="s">
        <v>13</v>
      </c>
      <c r="C70" s="4" t="s">
        <v>14</v>
      </c>
      <c r="D70" s="5" t="s">
        <v>15</v>
      </c>
      <c r="E70" s="5">
        <v>91700</v>
      </c>
      <c r="F70" s="3">
        <v>4</v>
      </c>
      <c r="G70" s="4">
        <v>2010</v>
      </c>
      <c r="H70" s="6" t="s">
        <v>253</v>
      </c>
      <c r="I70" s="9" t="s">
        <v>90</v>
      </c>
      <c r="J70" s="4" t="s">
        <v>254</v>
      </c>
      <c r="K70" s="7" t="s">
        <v>255</v>
      </c>
    </row>
    <row r="71" spans="1:11" customFormat="1" ht="28">
      <c r="A71" s="1">
        <v>69</v>
      </c>
      <c r="B71" s="2" t="s">
        <v>13</v>
      </c>
      <c r="C71" s="4" t="s">
        <v>14</v>
      </c>
      <c r="D71" s="5" t="s">
        <v>15</v>
      </c>
      <c r="E71" s="5">
        <v>91700</v>
      </c>
      <c r="F71" s="3">
        <v>4</v>
      </c>
      <c r="G71" s="4">
        <v>2012</v>
      </c>
      <c r="H71" s="6" t="s">
        <v>256</v>
      </c>
      <c r="I71" s="4" t="s">
        <v>76</v>
      </c>
      <c r="J71" s="4" t="s">
        <v>257</v>
      </c>
      <c r="K71" s="7" t="s">
        <v>258</v>
      </c>
    </row>
    <row r="72" spans="1:11" ht="28">
      <c r="A72" s="49">
        <v>70</v>
      </c>
      <c r="B72" s="50" t="s">
        <v>13</v>
      </c>
      <c r="C72" s="40" t="s">
        <v>14</v>
      </c>
      <c r="D72" s="51" t="s">
        <v>15</v>
      </c>
      <c r="E72" s="51">
        <v>91700</v>
      </c>
      <c r="F72" s="19">
        <v>1</v>
      </c>
      <c r="G72" s="40">
        <v>2009</v>
      </c>
      <c r="H72" s="40" t="s">
        <v>259</v>
      </c>
      <c r="I72" s="40" t="s">
        <v>260</v>
      </c>
      <c r="J72" s="40" t="s">
        <v>261</v>
      </c>
      <c r="K72" s="52" t="s">
        <v>262</v>
      </c>
    </row>
    <row r="73" spans="1:11" customFormat="1" ht="28">
      <c r="A73" s="1">
        <v>71</v>
      </c>
      <c r="B73" s="2" t="s">
        <v>263</v>
      </c>
      <c r="C73" s="4" t="s">
        <v>14</v>
      </c>
      <c r="D73" s="5" t="s">
        <v>15</v>
      </c>
      <c r="E73" s="5">
        <v>91700</v>
      </c>
      <c r="F73" s="3">
        <v>4</v>
      </c>
      <c r="G73" s="4">
        <v>2009</v>
      </c>
      <c r="H73" s="6" t="s">
        <v>264</v>
      </c>
      <c r="I73" s="9" t="s">
        <v>37</v>
      </c>
      <c r="J73" s="4" t="s">
        <v>265</v>
      </c>
      <c r="K73" s="7" t="s">
        <v>266</v>
      </c>
    </row>
    <row r="74" spans="1:11" customFormat="1" ht="28">
      <c r="A74" s="1">
        <v>72</v>
      </c>
      <c r="B74" s="2" t="s">
        <v>263</v>
      </c>
      <c r="C74" s="4" t="s">
        <v>14</v>
      </c>
      <c r="D74" s="5" t="s">
        <v>15</v>
      </c>
      <c r="E74" s="5">
        <v>91700</v>
      </c>
      <c r="F74" s="3">
        <v>3</v>
      </c>
      <c r="G74" s="4">
        <v>2009</v>
      </c>
      <c r="H74" s="6" t="s">
        <v>267</v>
      </c>
      <c r="I74" s="4" t="s">
        <v>268</v>
      </c>
      <c r="J74" s="4" t="s">
        <v>269</v>
      </c>
      <c r="K74" s="7" t="s">
        <v>270</v>
      </c>
    </row>
    <row r="75" spans="1:11" ht="28">
      <c r="A75" s="49">
        <v>73</v>
      </c>
      <c r="B75" s="50" t="s">
        <v>263</v>
      </c>
      <c r="C75" s="40" t="s">
        <v>14</v>
      </c>
      <c r="D75" s="51" t="s">
        <v>15</v>
      </c>
      <c r="E75" s="51">
        <v>91700</v>
      </c>
      <c r="F75" s="19">
        <v>1</v>
      </c>
      <c r="G75" s="40">
        <v>2007</v>
      </c>
      <c r="H75" s="40" t="s">
        <v>271</v>
      </c>
      <c r="I75" s="22" t="s">
        <v>37</v>
      </c>
      <c r="J75" s="40" t="s">
        <v>91</v>
      </c>
      <c r="K75" s="52" t="s">
        <v>272</v>
      </c>
    </row>
    <row r="76" spans="1:11" ht="28">
      <c r="A76" s="49">
        <v>74</v>
      </c>
      <c r="B76" s="50" t="s">
        <v>263</v>
      </c>
      <c r="C76" s="40" t="s">
        <v>14</v>
      </c>
      <c r="D76" s="51" t="s">
        <v>15</v>
      </c>
      <c r="E76" s="51">
        <v>91700</v>
      </c>
      <c r="F76" s="19">
        <v>1</v>
      </c>
      <c r="G76" s="40">
        <v>2011</v>
      </c>
      <c r="H76" s="22" t="s">
        <v>273</v>
      </c>
      <c r="I76" s="40" t="s">
        <v>274</v>
      </c>
      <c r="J76" s="40" t="s">
        <v>275</v>
      </c>
      <c r="K76" s="52" t="s">
        <v>276</v>
      </c>
    </row>
    <row r="77" spans="1:11" customFormat="1" ht="28">
      <c r="A77" s="1">
        <v>75</v>
      </c>
      <c r="B77" s="2" t="s">
        <v>263</v>
      </c>
      <c r="C77" s="4" t="s">
        <v>14</v>
      </c>
      <c r="D77" s="5" t="s">
        <v>15</v>
      </c>
      <c r="E77" s="5">
        <v>91700</v>
      </c>
      <c r="F77" s="3">
        <v>4</v>
      </c>
      <c r="G77" s="4">
        <v>2012</v>
      </c>
      <c r="H77" s="6" t="s">
        <v>277</v>
      </c>
      <c r="I77" s="9" t="s">
        <v>278</v>
      </c>
      <c r="J77" s="4" t="s">
        <v>279</v>
      </c>
      <c r="K77" s="7" t="s">
        <v>280</v>
      </c>
    </row>
    <row r="78" spans="1:11" customFormat="1" ht="28">
      <c r="A78" s="1">
        <v>76</v>
      </c>
      <c r="B78" s="2" t="s">
        <v>263</v>
      </c>
      <c r="C78" s="4" t="s">
        <v>14</v>
      </c>
      <c r="D78" s="5" t="s">
        <v>15</v>
      </c>
      <c r="E78" s="5">
        <v>91700</v>
      </c>
      <c r="F78" s="3">
        <v>4</v>
      </c>
      <c r="G78" s="4">
        <v>2012</v>
      </c>
      <c r="H78" s="6" t="s">
        <v>281</v>
      </c>
      <c r="I78" s="9" t="s">
        <v>64</v>
      </c>
      <c r="J78" s="4" t="s">
        <v>282</v>
      </c>
      <c r="K78" s="7" t="s">
        <v>283</v>
      </c>
    </row>
    <row r="79" spans="1:11" ht="28">
      <c r="A79" s="49">
        <v>77</v>
      </c>
      <c r="B79" s="50" t="s">
        <v>263</v>
      </c>
      <c r="C79" s="40" t="s">
        <v>14</v>
      </c>
      <c r="D79" s="51" t="s">
        <v>15</v>
      </c>
      <c r="E79" s="51">
        <v>91700</v>
      </c>
      <c r="F79" s="19">
        <v>2</v>
      </c>
      <c r="G79" s="40">
        <v>2007</v>
      </c>
      <c r="H79" s="40" t="s">
        <v>284</v>
      </c>
      <c r="I79" s="22" t="s">
        <v>37</v>
      </c>
      <c r="J79" s="40" t="s">
        <v>91</v>
      </c>
      <c r="K79" s="52" t="s">
        <v>285</v>
      </c>
    </row>
    <row r="80" spans="1:11" customFormat="1" ht="28">
      <c r="A80" s="1">
        <v>78</v>
      </c>
      <c r="B80" s="2" t="s">
        <v>263</v>
      </c>
      <c r="C80" s="4" t="s">
        <v>14</v>
      </c>
      <c r="D80" s="5" t="s">
        <v>15</v>
      </c>
      <c r="E80" s="5">
        <v>91700</v>
      </c>
      <c r="F80" s="3">
        <v>4</v>
      </c>
      <c r="G80" s="4">
        <v>2011</v>
      </c>
      <c r="H80" s="6" t="s">
        <v>286</v>
      </c>
      <c r="I80" s="9" t="s">
        <v>64</v>
      </c>
      <c r="J80" s="4" t="s">
        <v>287</v>
      </c>
      <c r="K80" s="7" t="s">
        <v>288</v>
      </c>
    </row>
    <row r="81" spans="1:11" customFormat="1" ht="28">
      <c r="A81" s="1">
        <v>79</v>
      </c>
      <c r="B81" s="2" t="s">
        <v>263</v>
      </c>
      <c r="C81" s="4" t="s">
        <v>14</v>
      </c>
      <c r="D81" s="5" t="s">
        <v>15</v>
      </c>
      <c r="E81" s="5">
        <v>91700</v>
      </c>
      <c r="F81" s="3">
        <v>3</v>
      </c>
      <c r="G81" s="4">
        <v>2013</v>
      </c>
      <c r="H81" s="6" t="s">
        <v>289</v>
      </c>
      <c r="I81" s="6" t="s">
        <v>290</v>
      </c>
      <c r="J81" s="4" t="s">
        <v>291</v>
      </c>
      <c r="K81" s="7" t="s">
        <v>292</v>
      </c>
    </row>
    <row r="82" spans="1:11" customFormat="1" ht="28">
      <c r="A82" s="1">
        <v>80</v>
      </c>
      <c r="B82" s="2" t="s">
        <v>263</v>
      </c>
      <c r="C82" s="4" t="s">
        <v>14</v>
      </c>
      <c r="D82" s="5" t="s">
        <v>15</v>
      </c>
      <c r="E82" s="5">
        <v>91700</v>
      </c>
      <c r="F82" s="3">
        <v>4</v>
      </c>
      <c r="G82" s="4">
        <v>2010</v>
      </c>
      <c r="H82" s="6" t="s">
        <v>293</v>
      </c>
      <c r="I82" s="4" t="s">
        <v>294</v>
      </c>
      <c r="J82" s="4" t="s">
        <v>295</v>
      </c>
      <c r="K82" s="7" t="s">
        <v>296</v>
      </c>
    </row>
    <row r="83" spans="1:11" ht="28">
      <c r="A83" s="49">
        <v>81</v>
      </c>
      <c r="B83" s="50" t="s">
        <v>263</v>
      </c>
      <c r="C83" s="40" t="s">
        <v>14</v>
      </c>
      <c r="D83" s="51" t="s">
        <v>15</v>
      </c>
      <c r="E83" s="51">
        <v>91700</v>
      </c>
      <c r="F83" s="19">
        <v>2</v>
      </c>
      <c r="G83" s="40">
        <v>2006</v>
      </c>
      <c r="H83" s="40" t="s">
        <v>297</v>
      </c>
      <c r="I83" s="40" t="s">
        <v>298</v>
      </c>
      <c r="J83" s="40" t="s">
        <v>91</v>
      </c>
      <c r="K83" s="52" t="s">
        <v>299</v>
      </c>
    </row>
    <row r="84" spans="1:11" customFormat="1" ht="28">
      <c r="A84" s="1">
        <v>82</v>
      </c>
      <c r="B84" s="2" t="s">
        <v>263</v>
      </c>
      <c r="C84" s="4" t="s">
        <v>14</v>
      </c>
      <c r="D84" s="5" t="s">
        <v>15</v>
      </c>
      <c r="E84" s="5">
        <v>91700</v>
      </c>
      <c r="F84" s="3">
        <v>4</v>
      </c>
      <c r="G84" s="4">
        <v>2007</v>
      </c>
      <c r="H84" s="10" t="s">
        <v>300</v>
      </c>
      <c r="I84" s="4" t="s">
        <v>301</v>
      </c>
      <c r="J84" s="4" t="s">
        <v>302</v>
      </c>
      <c r="K84" s="7" t="s">
        <v>303</v>
      </c>
    </row>
    <row r="85" spans="1:11" customFormat="1" ht="28">
      <c r="A85" s="1">
        <v>83</v>
      </c>
      <c r="B85" s="2" t="s">
        <v>263</v>
      </c>
      <c r="C85" s="4" t="s">
        <v>14</v>
      </c>
      <c r="D85" s="5" t="s">
        <v>15</v>
      </c>
      <c r="E85" s="5">
        <v>91700</v>
      </c>
      <c r="F85" s="3">
        <v>4</v>
      </c>
      <c r="G85" s="4">
        <v>2010</v>
      </c>
      <c r="H85" s="6" t="s">
        <v>304</v>
      </c>
      <c r="I85" s="4" t="s">
        <v>305</v>
      </c>
      <c r="J85" s="4" t="s">
        <v>306</v>
      </c>
      <c r="K85" s="7" t="s">
        <v>307</v>
      </c>
    </row>
    <row r="86" spans="1:11" customFormat="1" ht="28">
      <c r="A86" s="1">
        <v>84</v>
      </c>
      <c r="B86" s="2" t="s">
        <v>263</v>
      </c>
      <c r="C86" s="4" t="s">
        <v>14</v>
      </c>
      <c r="D86" s="5" t="s">
        <v>15</v>
      </c>
      <c r="E86" s="5">
        <v>91700</v>
      </c>
      <c r="F86" s="3">
        <v>4</v>
      </c>
      <c r="G86" s="4">
        <v>2012</v>
      </c>
      <c r="H86" s="6" t="s">
        <v>308</v>
      </c>
      <c r="I86" s="4" t="s">
        <v>238</v>
      </c>
      <c r="J86" s="4" t="s">
        <v>309</v>
      </c>
      <c r="K86" s="7" t="s">
        <v>310</v>
      </c>
    </row>
    <row r="87" spans="1:11" customFormat="1" ht="28">
      <c r="A87" s="1">
        <v>85</v>
      </c>
      <c r="B87" s="2" t="s">
        <v>263</v>
      </c>
      <c r="C87" s="4" t="s">
        <v>14</v>
      </c>
      <c r="D87" s="5" t="s">
        <v>15</v>
      </c>
      <c r="E87" s="5">
        <v>91700</v>
      </c>
      <c r="F87" s="3">
        <v>4</v>
      </c>
      <c r="G87" s="4">
        <v>2009</v>
      </c>
      <c r="H87" s="6" t="s">
        <v>311</v>
      </c>
      <c r="I87" s="4" t="s">
        <v>312</v>
      </c>
      <c r="J87" s="4" t="s">
        <v>313</v>
      </c>
      <c r="K87" s="7" t="s">
        <v>314</v>
      </c>
    </row>
    <row r="88" spans="1:11" ht="28">
      <c r="A88" s="49">
        <v>86</v>
      </c>
      <c r="B88" s="50" t="s">
        <v>263</v>
      </c>
      <c r="C88" s="40" t="s">
        <v>14</v>
      </c>
      <c r="D88" s="51" t="s">
        <v>15</v>
      </c>
      <c r="E88" s="51">
        <v>91700</v>
      </c>
      <c r="F88" s="19">
        <v>2</v>
      </c>
      <c r="G88" s="40">
        <v>2013</v>
      </c>
      <c r="H88" s="40" t="s">
        <v>315</v>
      </c>
      <c r="I88" s="40" t="s">
        <v>316</v>
      </c>
      <c r="J88" s="40" t="s">
        <v>317</v>
      </c>
      <c r="K88" s="52" t="s">
        <v>318</v>
      </c>
    </row>
    <row r="89" spans="1:11" ht="28">
      <c r="A89" s="49">
        <v>87</v>
      </c>
      <c r="B89" s="50" t="s">
        <v>263</v>
      </c>
      <c r="C89" s="40" t="s">
        <v>14</v>
      </c>
      <c r="D89" s="51" t="s">
        <v>15</v>
      </c>
      <c r="E89" s="51">
        <v>91700</v>
      </c>
      <c r="F89" s="19">
        <v>1</v>
      </c>
      <c r="G89" s="40">
        <v>2011</v>
      </c>
      <c r="H89" s="40" t="s">
        <v>319</v>
      </c>
      <c r="I89" s="40" t="s">
        <v>320</v>
      </c>
      <c r="J89" s="40" t="s">
        <v>91</v>
      </c>
      <c r="K89" s="52" t="s">
        <v>321</v>
      </c>
    </row>
    <row r="90" spans="1:11" customFormat="1" ht="28">
      <c r="A90" s="1">
        <v>88</v>
      </c>
      <c r="B90" s="2" t="s">
        <v>263</v>
      </c>
      <c r="C90" s="4" t="s">
        <v>14</v>
      </c>
      <c r="D90" s="5" t="s">
        <v>15</v>
      </c>
      <c r="E90" s="5">
        <v>91700</v>
      </c>
      <c r="F90" s="3">
        <v>4</v>
      </c>
      <c r="G90" s="4">
        <v>2007</v>
      </c>
      <c r="H90" s="6" t="s">
        <v>322</v>
      </c>
      <c r="I90" s="4" t="s">
        <v>323</v>
      </c>
      <c r="J90" s="4" t="s">
        <v>324</v>
      </c>
      <c r="K90" s="7" t="s">
        <v>325</v>
      </c>
    </row>
    <row r="91" spans="1:11" customFormat="1" ht="28">
      <c r="A91" s="1">
        <v>89</v>
      </c>
      <c r="B91" s="2" t="s">
        <v>263</v>
      </c>
      <c r="C91" s="4" t="s">
        <v>14</v>
      </c>
      <c r="D91" s="5" t="s">
        <v>15</v>
      </c>
      <c r="E91" s="5">
        <v>91700</v>
      </c>
      <c r="F91" s="3">
        <v>4</v>
      </c>
      <c r="G91" s="4">
        <v>2011</v>
      </c>
      <c r="H91" s="4" t="s">
        <v>326</v>
      </c>
      <c r="I91" s="4" t="s">
        <v>327</v>
      </c>
      <c r="J91" s="4" t="s">
        <v>328</v>
      </c>
      <c r="K91" s="7" t="s">
        <v>329</v>
      </c>
    </row>
    <row r="92" spans="1:11" customFormat="1" ht="28">
      <c r="A92" s="1">
        <v>90</v>
      </c>
      <c r="B92" s="2" t="s">
        <v>263</v>
      </c>
      <c r="C92" s="4" t="s">
        <v>14</v>
      </c>
      <c r="D92" s="5" t="s">
        <v>15</v>
      </c>
      <c r="E92" s="5">
        <v>91700</v>
      </c>
      <c r="F92" s="3">
        <v>3</v>
      </c>
      <c r="G92" s="4">
        <v>2012</v>
      </c>
      <c r="H92" s="4" t="s">
        <v>330</v>
      </c>
      <c r="I92" s="4" t="s">
        <v>331</v>
      </c>
      <c r="J92" s="4" t="s">
        <v>332</v>
      </c>
      <c r="K92" s="7" t="s">
        <v>333</v>
      </c>
    </row>
    <row r="93" spans="1:11" customFormat="1" ht="28">
      <c r="A93" s="1">
        <v>91</v>
      </c>
      <c r="B93" s="2" t="s">
        <v>263</v>
      </c>
      <c r="C93" s="4" t="s">
        <v>14</v>
      </c>
      <c r="D93" s="5" t="s">
        <v>15</v>
      </c>
      <c r="E93" s="5">
        <v>91700</v>
      </c>
      <c r="F93" s="3">
        <v>4</v>
      </c>
      <c r="G93" s="4">
        <v>2009</v>
      </c>
      <c r="H93" s="6" t="s">
        <v>334</v>
      </c>
      <c r="I93" s="4" t="s">
        <v>335</v>
      </c>
      <c r="J93" s="4" t="s">
        <v>336</v>
      </c>
      <c r="K93" s="7" t="s">
        <v>337</v>
      </c>
    </row>
    <row r="94" spans="1:11" customFormat="1" ht="28">
      <c r="A94" s="1">
        <v>92</v>
      </c>
      <c r="B94" s="2" t="s">
        <v>263</v>
      </c>
      <c r="C94" s="4" t="s">
        <v>14</v>
      </c>
      <c r="D94" s="5" t="s">
        <v>15</v>
      </c>
      <c r="E94" s="5">
        <v>91700</v>
      </c>
      <c r="F94" s="3">
        <v>4</v>
      </c>
      <c r="G94" s="4">
        <v>2012</v>
      </c>
      <c r="H94" s="6" t="s">
        <v>338</v>
      </c>
      <c r="I94" s="4" t="s">
        <v>339</v>
      </c>
      <c r="J94" s="4" t="s">
        <v>340</v>
      </c>
      <c r="K94" s="7" t="s">
        <v>341</v>
      </c>
    </row>
    <row r="95" spans="1:11" customFormat="1" ht="28">
      <c r="A95" s="1">
        <v>93</v>
      </c>
      <c r="B95" s="2" t="s">
        <v>263</v>
      </c>
      <c r="C95" s="4" t="s">
        <v>14</v>
      </c>
      <c r="D95" s="5" t="s">
        <v>15</v>
      </c>
      <c r="E95" s="5">
        <v>91700</v>
      </c>
      <c r="F95" s="3">
        <v>4</v>
      </c>
      <c r="G95" s="4">
        <v>2012</v>
      </c>
      <c r="H95" s="6" t="s">
        <v>342</v>
      </c>
      <c r="I95" s="4" t="s">
        <v>343</v>
      </c>
      <c r="J95" s="4" t="s">
        <v>344</v>
      </c>
      <c r="K95" s="7" t="s">
        <v>345</v>
      </c>
    </row>
    <row r="96" spans="1:11" customFormat="1" ht="28">
      <c r="A96" s="1">
        <v>94</v>
      </c>
      <c r="B96" s="2" t="s">
        <v>263</v>
      </c>
      <c r="C96" s="4" t="s">
        <v>14</v>
      </c>
      <c r="D96" s="5" t="s">
        <v>15</v>
      </c>
      <c r="E96" s="5">
        <v>91700</v>
      </c>
      <c r="F96" s="3">
        <v>4</v>
      </c>
      <c r="G96" s="4">
        <v>2007</v>
      </c>
      <c r="H96" s="6" t="s">
        <v>346</v>
      </c>
      <c r="I96" s="4" t="s">
        <v>347</v>
      </c>
      <c r="J96" s="4" t="s">
        <v>287</v>
      </c>
      <c r="K96" s="7" t="s">
        <v>348</v>
      </c>
    </row>
    <row r="97" spans="1:11" ht="28">
      <c r="A97" s="49">
        <v>95</v>
      </c>
      <c r="B97" s="50" t="s">
        <v>263</v>
      </c>
      <c r="C97" s="40" t="s">
        <v>14</v>
      </c>
      <c r="D97" s="51" t="s">
        <v>15</v>
      </c>
      <c r="E97" s="51">
        <v>91700</v>
      </c>
      <c r="F97" s="19">
        <v>1</v>
      </c>
      <c r="G97" s="40">
        <v>2010</v>
      </c>
      <c r="H97" s="40" t="s">
        <v>349</v>
      </c>
      <c r="I97" s="40" t="s">
        <v>350</v>
      </c>
      <c r="J97" s="40" t="s">
        <v>351</v>
      </c>
      <c r="K97" s="52" t="s">
        <v>352</v>
      </c>
    </row>
    <row r="98" spans="1:11" ht="28">
      <c r="A98" s="49">
        <v>96</v>
      </c>
      <c r="B98" s="50" t="s">
        <v>263</v>
      </c>
      <c r="C98" s="40" t="s">
        <v>14</v>
      </c>
      <c r="D98" s="51" t="s">
        <v>15</v>
      </c>
      <c r="E98" s="51">
        <v>91700</v>
      </c>
      <c r="F98" s="19">
        <v>2</v>
      </c>
      <c r="G98" s="40">
        <v>2010</v>
      </c>
      <c r="H98" s="40" t="s">
        <v>353</v>
      </c>
      <c r="I98" s="40" t="s">
        <v>37</v>
      </c>
      <c r="J98" s="40" t="s">
        <v>354</v>
      </c>
      <c r="K98" s="52" t="s">
        <v>355</v>
      </c>
    </row>
    <row r="99" spans="1:11" customFormat="1" ht="28">
      <c r="A99" s="1">
        <v>97</v>
      </c>
      <c r="B99" s="2" t="s">
        <v>263</v>
      </c>
      <c r="C99" s="4" t="s">
        <v>14</v>
      </c>
      <c r="D99" s="5" t="s">
        <v>15</v>
      </c>
      <c r="E99" s="5">
        <v>91700</v>
      </c>
      <c r="F99" s="3">
        <v>4</v>
      </c>
      <c r="G99" s="4">
        <v>2006</v>
      </c>
      <c r="H99" s="6" t="s">
        <v>356</v>
      </c>
      <c r="I99" s="9" t="s">
        <v>90</v>
      </c>
      <c r="J99" s="4" t="s">
        <v>357</v>
      </c>
      <c r="K99" s="7" t="s">
        <v>358</v>
      </c>
    </row>
    <row r="100" spans="1:11" customFormat="1" ht="28">
      <c r="A100" s="1">
        <v>98</v>
      </c>
      <c r="B100" s="2" t="s">
        <v>263</v>
      </c>
      <c r="C100" s="4" t="s">
        <v>14</v>
      </c>
      <c r="D100" s="5" t="s">
        <v>15</v>
      </c>
      <c r="E100" s="5">
        <v>91700</v>
      </c>
      <c r="F100" s="3">
        <v>4</v>
      </c>
      <c r="G100" s="4">
        <v>2009</v>
      </c>
      <c r="H100" s="6" t="s">
        <v>359</v>
      </c>
      <c r="I100" s="9" t="s">
        <v>360</v>
      </c>
      <c r="J100" s="4" t="s">
        <v>361</v>
      </c>
      <c r="K100" s="7" t="s">
        <v>362</v>
      </c>
    </row>
    <row r="101" spans="1:11" ht="28">
      <c r="A101" s="49">
        <v>99</v>
      </c>
      <c r="B101" s="50" t="s">
        <v>263</v>
      </c>
      <c r="C101" s="40" t="s">
        <v>14</v>
      </c>
      <c r="D101" s="51" t="s">
        <v>15</v>
      </c>
      <c r="E101" s="51">
        <v>91700</v>
      </c>
      <c r="F101" s="19">
        <v>2</v>
      </c>
      <c r="G101" s="40">
        <v>2013</v>
      </c>
      <c r="H101" s="40" t="s">
        <v>363</v>
      </c>
      <c r="I101" s="40" t="s">
        <v>37</v>
      </c>
      <c r="J101" s="40" t="s">
        <v>364</v>
      </c>
      <c r="K101" s="52" t="s">
        <v>365</v>
      </c>
    </row>
    <row r="102" spans="1:11" customFormat="1" ht="28">
      <c r="A102" s="1">
        <v>100</v>
      </c>
      <c r="B102" s="2" t="s">
        <v>263</v>
      </c>
      <c r="C102" s="4" t="s">
        <v>14</v>
      </c>
      <c r="D102" s="5" t="s">
        <v>15</v>
      </c>
      <c r="E102" s="5">
        <v>91700</v>
      </c>
      <c r="F102" s="3">
        <v>4</v>
      </c>
      <c r="G102" s="4">
        <v>2008</v>
      </c>
      <c r="H102" s="6" t="s">
        <v>366</v>
      </c>
      <c r="I102" s="9" t="s">
        <v>90</v>
      </c>
      <c r="J102" s="4" t="s">
        <v>367</v>
      </c>
      <c r="K102" s="7" t="s">
        <v>368</v>
      </c>
    </row>
    <row r="103" spans="1:11" customFormat="1" ht="28">
      <c r="A103" s="1">
        <v>101</v>
      </c>
      <c r="B103" s="2" t="s">
        <v>263</v>
      </c>
      <c r="C103" s="4" t="s">
        <v>14</v>
      </c>
      <c r="D103" s="5" t="s">
        <v>15</v>
      </c>
      <c r="E103" s="5">
        <v>91700</v>
      </c>
      <c r="F103" s="3">
        <v>4</v>
      </c>
      <c r="G103" s="4">
        <v>2010</v>
      </c>
      <c r="H103" s="6" t="s">
        <v>369</v>
      </c>
      <c r="I103" s="4" t="s">
        <v>370</v>
      </c>
      <c r="J103" s="4" t="s">
        <v>371</v>
      </c>
      <c r="K103" s="7" t="s">
        <v>372</v>
      </c>
    </row>
    <row r="104" spans="1:11" customFormat="1" ht="28">
      <c r="A104" s="1">
        <v>102</v>
      </c>
      <c r="B104" s="2" t="s">
        <v>373</v>
      </c>
      <c r="C104" s="4" t="s">
        <v>14</v>
      </c>
      <c r="D104" s="4" t="s">
        <v>374</v>
      </c>
      <c r="E104" s="5">
        <v>161000</v>
      </c>
      <c r="F104" s="3">
        <v>3</v>
      </c>
      <c r="G104" s="4">
        <v>2008</v>
      </c>
      <c r="H104" s="6" t="s">
        <v>375</v>
      </c>
      <c r="I104" s="4" t="s">
        <v>376</v>
      </c>
      <c r="J104" s="4" t="s">
        <v>377</v>
      </c>
      <c r="K104" s="7" t="s">
        <v>378</v>
      </c>
    </row>
    <row r="105" spans="1:11" ht="28">
      <c r="A105" s="49">
        <v>103</v>
      </c>
      <c r="B105" s="50" t="s">
        <v>373</v>
      </c>
      <c r="C105" s="40" t="s">
        <v>14</v>
      </c>
      <c r="D105" s="40" t="s">
        <v>374</v>
      </c>
      <c r="E105" s="51">
        <v>161000</v>
      </c>
      <c r="F105" s="19">
        <v>1</v>
      </c>
      <c r="G105" s="40">
        <v>2010</v>
      </c>
      <c r="H105" s="40" t="s">
        <v>379</v>
      </c>
      <c r="I105" s="40" t="s">
        <v>380</v>
      </c>
      <c r="J105" s="40" t="s">
        <v>91</v>
      </c>
      <c r="K105" s="52" t="s">
        <v>381</v>
      </c>
    </row>
    <row r="106" spans="1:11" ht="28">
      <c r="A106" s="49">
        <v>104</v>
      </c>
      <c r="B106" s="50" t="s">
        <v>373</v>
      </c>
      <c r="C106" s="40" t="s">
        <v>14</v>
      </c>
      <c r="D106" s="40" t="s">
        <v>374</v>
      </c>
      <c r="E106" s="51">
        <v>161000</v>
      </c>
      <c r="F106" s="19">
        <v>1</v>
      </c>
      <c r="G106" s="40">
        <v>2011</v>
      </c>
      <c r="H106" s="40" t="s">
        <v>382</v>
      </c>
      <c r="I106" s="40" t="s">
        <v>37</v>
      </c>
      <c r="J106" s="40" t="s">
        <v>91</v>
      </c>
      <c r="K106" s="52" t="s">
        <v>383</v>
      </c>
    </row>
    <row r="107" spans="1:11" customFormat="1" ht="28">
      <c r="A107" s="1">
        <v>105</v>
      </c>
      <c r="B107" s="2" t="s">
        <v>373</v>
      </c>
      <c r="C107" s="4" t="s">
        <v>14</v>
      </c>
      <c r="D107" s="4" t="s">
        <v>374</v>
      </c>
      <c r="E107" s="5">
        <v>161000</v>
      </c>
      <c r="F107" s="3">
        <v>3</v>
      </c>
      <c r="G107" s="4">
        <v>2009</v>
      </c>
      <c r="H107" s="6" t="s">
        <v>384</v>
      </c>
      <c r="I107" s="4" t="s">
        <v>385</v>
      </c>
      <c r="J107" s="4" t="s">
        <v>214</v>
      </c>
      <c r="K107" s="7" t="s">
        <v>386</v>
      </c>
    </row>
    <row r="108" spans="1:11" customFormat="1" ht="28">
      <c r="A108" s="1">
        <v>106</v>
      </c>
      <c r="B108" s="2" t="s">
        <v>373</v>
      </c>
      <c r="C108" s="4" t="s">
        <v>14</v>
      </c>
      <c r="D108" s="4" t="s">
        <v>374</v>
      </c>
      <c r="E108" s="5">
        <v>161000</v>
      </c>
      <c r="F108" s="3">
        <v>3</v>
      </c>
      <c r="G108" s="4">
        <v>2011</v>
      </c>
      <c r="H108" s="6" t="s">
        <v>387</v>
      </c>
      <c r="I108" s="4" t="s">
        <v>37</v>
      </c>
      <c r="J108" s="4" t="s">
        <v>388</v>
      </c>
      <c r="K108" s="7" t="s">
        <v>389</v>
      </c>
    </row>
    <row r="109" spans="1:11" ht="28">
      <c r="A109" s="49">
        <v>107</v>
      </c>
      <c r="B109" s="50" t="s">
        <v>373</v>
      </c>
      <c r="C109" s="40" t="s">
        <v>14</v>
      </c>
      <c r="D109" s="40" t="s">
        <v>374</v>
      </c>
      <c r="E109" s="51">
        <v>161000</v>
      </c>
      <c r="F109" s="19">
        <v>2</v>
      </c>
      <c r="G109" s="40">
        <v>2013</v>
      </c>
      <c r="H109" s="40" t="s">
        <v>390</v>
      </c>
      <c r="I109" s="40" t="s">
        <v>90</v>
      </c>
      <c r="J109" s="40" t="s">
        <v>391</v>
      </c>
      <c r="K109" s="52" t="s">
        <v>392</v>
      </c>
    </row>
    <row r="110" spans="1:11" ht="28">
      <c r="A110" s="49">
        <v>108</v>
      </c>
      <c r="B110" s="50" t="s">
        <v>373</v>
      </c>
      <c r="C110" s="40" t="s">
        <v>14</v>
      </c>
      <c r="D110" s="40" t="s">
        <v>374</v>
      </c>
      <c r="E110" s="51">
        <v>161000</v>
      </c>
      <c r="F110" s="19">
        <v>2</v>
      </c>
      <c r="G110" s="40">
        <v>2011</v>
      </c>
      <c r="H110" s="40" t="s">
        <v>393</v>
      </c>
      <c r="I110" s="40" t="s">
        <v>394</v>
      </c>
      <c r="J110" s="40" t="s">
        <v>395</v>
      </c>
      <c r="K110" s="52" t="s">
        <v>396</v>
      </c>
    </row>
    <row r="111" spans="1:11" customFormat="1" ht="15.75" customHeight="1">
      <c r="A111" s="1">
        <v>109</v>
      </c>
      <c r="B111" s="2" t="s">
        <v>373</v>
      </c>
      <c r="C111" s="4" t="s">
        <v>14</v>
      </c>
      <c r="D111" s="4" t="s">
        <v>374</v>
      </c>
      <c r="E111" s="5">
        <v>161000</v>
      </c>
      <c r="F111" s="3">
        <v>3</v>
      </c>
      <c r="G111" s="4">
        <v>2006</v>
      </c>
      <c r="H111" s="6" t="s">
        <v>397</v>
      </c>
      <c r="I111" s="4" t="s">
        <v>398</v>
      </c>
      <c r="J111" s="4" t="s">
        <v>399</v>
      </c>
      <c r="K111" s="7" t="s">
        <v>400</v>
      </c>
    </row>
    <row r="112" spans="1:11" customFormat="1" ht="15.75" customHeight="1">
      <c r="A112" s="1">
        <v>110</v>
      </c>
      <c r="B112" s="2" t="s">
        <v>373</v>
      </c>
      <c r="C112" s="4" t="s">
        <v>14</v>
      </c>
      <c r="D112" s="4" t="s">
        <v>374</v>
      </c>
      <c r="E112" s="5">
        <v>161000</v>
      </c>
      <c r="F112" s="3">
        <v>3</v>
      </c>
      <c r="G112" s="4">
        <v>2010</v>
      </c>
      <c r="H112" s="6" t="s">
        <v>401</v>
      </c>
      <c r="I112" s="4" t="s">
        <v>402</v>
      </c>
      <c r="J112" s="4" t="s">
        <v>403</v>
      </c>
      <c r="K112" s="7" t="s">
        <v>404</v>
      </c>
    </row>
    <row r="113" spans="1:11" customFormat="1" ht="15.75" customHeight="1">
      <c r="A113" s="1">
        <v>111</v>
      </c>
      <c r="B113" s="2" t="s">
        <v>373</v>
      </c>
      <c r="C113" s="4" t="s">
        <v>14</v>
      </c>
      <c r="D113" s="4" t="s">
        <v>374</v>
      </c>
      <c r="E113" s="5">
        <v>161000</v>
      </c>
      <c r="F113" s="3">
        <v>3</v>
      </c>
      <c r="G113" s="4">
        <v>2008</v>
      </c>
      <c r="H113" s="6" t="s">
        <v>405</v>
      </c>
      <c r="I113" s="4" t="s">
        <v>406</v>
      </c>
      <c r="J113" s="4" t="s">
        <v>407</v>
      </c>
      <c r="K113" s="7" t="s">
        <v>408</v>
      </c>
    </row>
    <row r="114" spans="1:11" ht="28">
      <c r="A114" s="49">
        <v>112</v>
      </c>
      <c r="B114" s="50" t="s">
        <v>409</v>
      </c>
      <c r="C114" s="40" t="s">
        <v>14</v>
      </c>
      <c r="D114" s="40" t="s">
        <v>374</v>
      </c>
      <c r="E114" s="51">
        <v>25900</v>
      </c>
      <c r="F114" s="19">
        <v>2</v>
      </c>
      <c r="G114" s="40">
        <v>2012</v>
      </c>
      <c r="H114" s="40" t="s">
        <v>410</v>
      </c>
      <c r="I114" s="40" t="s">
        <v>343</v>
      </c>
      <c r="J114" s="40" t="s">
        <v>411</v>
      </c>
      <c r="K114" s="52" t="s">
        <v>412</v>
      </c>
    </row>
    <row r="115" spans="1:11" customFormat="1" ht="28">
      <c r="A115" s="1">
        <v>113</v>
      </c>
      <c r="B115" s="2" t="s">
        <v>409</v>
      </c>
      <c r="C115" s="4" t="s">
        <v>14</v>
      </c>
      <c r="D115" s="4" t="s">
        <v>374</v>
      </c>
      <c r="E115" s="5">
        <v>25900</v>
      </c>
      <c r="F115" s="3">
        <v>3</v>
      </c>
      <c r="G115" s="4">
        <v>2007</v>
      </c>
      <c r="H115" s="6" t="s">
        <v>413</v>
      </c>
      <c r="I115" s="4" t="s">
        <v>25</v>
      </c>
      <c r="J115" s="4" t="s">
        <v>414</v>
      </c>
      <c r="K115" s="7" t="s">
        <v>415</v>
      </c>
    </row>
    <row r="116" spans="1:11" ht="28">
      <c r="A116" s="49">
        <v>114</v>
      </c>
      <c r="B116" s="50" t="s">
        <v>409</v>
      </c>
      <c r="C116" s="40" t="s">
        <v>14</v>
      </c>
      <c r="D116" s="40" t="s">
        <v>374</v>
      </c>
      <c r="E116" s="51">
        <v>25900</v>
      </c>
      <c r="F116" s="19">
        <v>2</v>
      </c>
      <c r="G116" s="40">
        <v>2012</v>
      </c>
      <c r="H116" s="40" t="s">
        <v>416</v>
      </c>
      <c r="I116" s="40" t="s">
        <v>25</v>
      </c>
      <c r="J116" s="40" t="s">
        <v>417</v>
      </c>
      <c r="K116" s="52" t="s">
        <v>418</v>
      </c>
    </row>
    <row r="117" spans="1:11" ht="28">
      <c r="A117" s="49">
        <v>115</v>
      </c>
      <c r="B117" s="50" t="s">
        <v>409</v>
      </c>
      <c r="C117" s="40" t="s">
        <v>14</v>
      </c>
      <c r="D117" s="40" t="s">
        <v>374</v>
      </c>
      <c r="E117" s="51">
        <v>25900</v>
      </c>
      <c r="F117" s="19">
        <v>2</v>
      </c>
      <c r="G117" s="40">
        <v>2012</v>
      </c>
      <c r="H117" s="40" t="s">
        <v>419</v>
      </c>
      <c r="I117" s="40" t="s">
        <v>420</v>
      </c>
      <c r="J117" s="40" t="s">
        <v>421</v>
      </c>
      <c r="K117" s="52" t="s">
        <v>422</v>
      </c>
    </row>
    <row r="118" spans="1:11" customFormat="1" ht="28">
      <c r="A118" s="1">
        <v>116</v>
      </c>
      <c r="B118" s="2" t="s">
        <v>409</v>
      </c>
      <c r="C118" s="4" t="s">
        <v>14</v>
      </c>
      <c r="D118" s="4" t="s">
        <v>374</v>
      </c>
      <c r="E118" s="5">
        <v>25900</v>
      </c>
      <c r="F118" s="3">
        <v>3</v>
      </c>
      <c r="G118" s="4">
        <v>2013</v>
      </c>
      <c r="H118" s="6" t="s">
        <v>423</v>
      </c>
      <c r="I118" s="6" t="s">
        <v>424</v>
      </c>
      <c r="J118" s="6" t="s">
        <v>425</v>
      </c>
      <c r="K118" s="7" t="s">
        <v>426</v>
      </c>
    </row>
    <row r="119" spans="1:11" ht="28">
      <c r="A119" s="49">
        <v>117</v>
      </c>
      <c r="B119" s="50" t="s">
        <v>409</v>
      </c>
      <c r="C119" s="40" t="s">
        <v>14</v>
      </c>
      <c r="D119" s="40" t="s">
        <v>374</v>
      </c>
      <c r="E119" s="51">
        <v>25900</v>
      </c>
      <c r="F119" s="19">
        <v>1</v>
      </c>
      <c r="G119" s="40">
        <v>2013</v>
      </c>
      <c r="H119" s="40" t="s">
        <v>427</v>
      </c>
      <c r="I119" s="40" t="s">
        <v>134</v>
      </c>
      <c r="J119" s="40" t="s">
        <v>428</v>
      </c>
      <c r="K119" s="52" t="s">
        <v>429</v>
      </c>
    </row>
    <row r="120" spans="1:11" ht="28">
      <c r="A120" s="49">
        <v>118</v>
      </c>
      <c r="B120" s="50" t="s">
        <v>409</v>
      </c>
      <c r="C120" s="40" t="s">
        <v>14</v>
      </c>
      <c r="D120" s="40" t="s">
        <v>374</v>
      </c>
      <c r="E120" s="51">
        <v>25900</v>
      </c>
      <c r="F120" s="19">
        <v>1</v>
      </c>
      <c r="G120" s="40">
        <v>2014</v>
      </c>
      <c r="H120" s="40" t="s">
        <v>430</v>
      </c>
      <c r="I120" s="40" t="s">
        <v>64</v>
      </c>
      <c r="J120" s="40" t="s">
        <v>431</v>
      </c>
      <c r="K120" s="52" t="s">
        <v>432</v>
      </c>
    </row>
    <row r="121" spans="1:11" ht="28">
      <c r="A121" s="49">
        <v>119</v>
      </c>
      <c r="B121" s="50" t="s">
        <v>409</v>
      </c>
      <c r="C121" s="40" t="s">
        <v>14</v>
      </c>
      <c r="D121" s="40" t="s">
        <v>374</v>
      </c>
      <c r="E121" s="51">
        <v>25900</v>
      </c>
      <c r="F121" s="19">
        <v>1</v>
      </c>
      <c r="G121" s="40">
        <v>2012</v>
      </c>
      <c r="H121" s="40" t="s">
        <v>433</v>
      </c>
      <c r="I121" s="40" t="s">
        <v>37</v>
      </c>
      <c r="J121" s="40" t="s">
        <v>434</v>
      </c>
      <c r="K121" s="52" t="s">
        <v>435</v>
      </c>
    </row>
    <row r="122" spans="1:11" ht="28">
      <c r="A122" s="49">
        <v>120</v>
      </c>
      <c r="B122" s="50" t="s">
        <v>436</v>
      </c>
      <c r="C122" s="40" t="s">
        <v>14</v>
      </c>
      <c r="D122" s="40" t="s">
        <v>374</v>
      </c>
      <c r="E122" s="51">
        <v>2080</v>
      </c>
      <c r="F122" s="19">
        <v>1</v>
      </c>
      <c r="G122" s="40">
        <v>2008</v>
      </c>
      <c r="H122" s="40" t="s">
        <v>437</v>
      </c>
      <c r="I122" s="40" t="s">
        <v>438</v>
      </c>
      <c r="J122" s="40" t="s">
        <v>439</v>
      </c>
      <c r="K122" s="52" t="s">
        <v>440</v>
      </c>
    </row>
    <row r="123" spans="1:11" ht="28">
      <c r="A123" s="49">
        <v>121</v>
      </c>
      <c r="B123" s="50" t="s">
        <v>436</v>
      </c>
      <c r="C123" s="40" t="s">
        <v>14</v>
      </c>
      <c r="D123" s="40" t="s">
        <v>374</v>
      </c>
      <c r="E123" s="51">
        <v>2080</v>
      </c>
      <c r="F123" s="19">
        <v>1</v>
      </c>
      <c r="G123" s="40">
        <v>2006</v>
      </c>
      <c r="H123" s="40" t="s">
        <v>441</v>
      </c>
      <c r="I123" s="40" t="s">
        <v>90</v>
      </c>
      <c r="J123" s="40" t="s">
        <v>442</v>
      </c>
      <c r="K123" s="52" t="s">
        <v>443</v>
      </c>
    </row>
    <row r="124" spans="1:11" customFormat="1" ht="28">
      <c r="A124" s="1">
        <v>122</v>
      </c>
      <c r="B124" s="2" t="s">
        <v>436</v>
      </c>
      <c r="C124" s="4" t="s">
        <v>14</v>
      </c>
      <c r="D124" s="4" t="s">
        <v>374</v>
      </c>
      <c r="E124" s="5">
        <v>2080</v>
      </c>
      <c r="F124" s="3">
        <v>3</v>
      </c>
      <c r="G124" s="4">
        <v>2009</v>
      </c>
      <c r="H124" s="6" t="s">
        <v>444</v>
      </c>
      <c r="I124" s="4" t="s">
        <v>445</v>
      </c>
      <c r="J124" s="4" t="s">
        <v>446</v>
      </c>
      <c r="K124" s="7" t="s">
        <v>447</v>
      </c>
    </row>
    <row r="125" spans="1:11" ht="28">
      <c r="A125" s="49">
        <v>123</v>
      </c>
      <c r="B125" s="50" t="s">
        <v>436</v>
      </c>
      <c r="C125" s="40" t="s">
        <v>14</v>
      </c>
      <c r="D125" s="40" t="s">
        <v>374</v>
      </c>
      <c r="E125" s="51">
        <v>2080</v>
      </c>
      <c r="F125" s="19">
        <v>2</v>
      </c>
      <c r="G125" s="40">
        <v>2008</v>
      </c>
      <c r="H125" s="40" t="s">
        <v>448</v>
      </c>
      <c r="I125" s="40" t="s">
        <v>438</v>
      </c>
      <c r="J125" s="40" t="s">
        <v>449</v>
      </c>
      <c r="K125" s="52" t="s">
        <v>450</v>
      </c>
    </row>
    <row r="126" spans="1:11" customFormat="1" ht="28">
      <c r="A126" s="1">
        <v>124</v>
      </c>
      <c r="B126" s="2" t="s">
        <v>436</v>
      </c>
      <c r="C126" s="4" t="s">
        <v>14</v>
      </c>
      <c r="D126" s="4" t="s">
        <v>374</v>
      </c>
      <c r="E126" s="5">
        <v>2080</v>
      </c>
      <c r="F126" s="3">
        <v>3</v>
      </c>
      <c r="G126" s="4">
        <v>2009</v>
      </c>
      <c r="H126" s="6" t="s">
        <v>451</v>
      </c>
      <c r="I126" s="4" t="s">
        <v>134</v>
      </c>
      <c r="J126" s="4" t="s">
        <v>452</v>
      </c>
      <c r="K126" s="7" t="s">
        <v>453</v>
      </c>
    </row>
    <row r="127" spans="1:11" ht="28">
      <c r="A127" s="49">
        <v>125</v>
      </c>
      <c r="B127" s="50" t="s">
        <v>436</v>
      </c>
      <c r="C127" s="40" t="s">
        <v>14</v>
      </c>
      <c r="D127" s="40" t="s">
        <v>374</v>
      </c>
      <c r="E127" s="51">
        <v>2080</v>
      </c>
      <c r="F127" s="19">
        <v>1</v>
      </c>
      <c r="G127" s="40">
        <v>2008</v>
      </c>
      <c r="H127" s="40" t="s">
        <v>454</v>
      </c>
      <c r="I127" s="40" t="s">
        <v>455</v>
      </c>
      <c r="J127" s="40" t="s">
        <v>456</v>
      </c>
      <c r="K127" s="52" t="s">
        <v>457</v>
      </c>
    </row>
    <row r="128" spans="1:11" ht="28">
      <c r="A128" s="49">
        <v>126</v>
      </c>
      <c r="B128" s="50" t="s">
        <v>436</v>
      </c>
      <c r="C128" s="40" t="s">
        <v>14</v>
      </c>
      <c r="D128" s="40" t="s">
        <v>374</v>
      </c>
      <c r="E128" s="51">
        <v>2080</v>
      </c>
      <c r="F128" s="19">
        <v>1</v>
      </c>
      <c r="G128" s="40">
        <v>2008</v>
      </c>
      <c r="H128" s="40" t="s">
        <v>458</v>
      </c>
      <c r="I128" s="40" t="s">
        <v>459</v>
      </c>
      <c r="J128" s="40" t="s">
        <v>460</v>
      </c>
      <c r="K128" s="52" t="s">
        <v>461</v>
      </c>
    </row>
    <row r="129" spans="1:11" ht="28">
      <c r="A129" s="49">
        <v>127</v>
      </c>
      <c r="B129" s="50" t="s">
        <v>436</v>
      </c>
      <c r="C129" s="40" t="s">
        <v>14</v>
      </c>
      <c r="D129" s="40" t="s">
        <v>374</v>
      </c>
      <c r="E129" s="51">
        <v>2080</v>
      </c>
      <c r="F129" s="19">
        <v>1</v>
      </c>
      <c r="G129" s="40">
        <v>2011</v>
      </c>
      <c r="H129" s="40" t="s">
        <v>462</v>
      </c>
      <c r="I129" s="40" t="s">
        <v>445</v>
      </c>
      <c r="J129" s="40" t="s">
        <v>463</v>
      </c>
      <c r="K129" s="52" t="s">
        <v>464</v>
      </c>
    </row>
    <row r="130" spans="1:11" customFormat="1" ht="28">
      <c r="A130" s="1">
        <v>128</v>
      </c>
      <c r="B130" s="2" t="s">
        <v>436</v>
      </c>
      <c r="C130" s="4" t="s">
        <v>14</v>
      </c>
      <c r="D130" s="4" t="s">
        <v>374</v>
      </c>
      <c r="E130" s="5">
        <v>2080</v>
      </c>
      <c r="F130" s="3">
        <v>3</v>
      </c>
      <c r="G130" s="4">
        <v>2006</v>
      </c>
      <c r="H130" s="6" t="s">
        <v>465</v>
      </c>
      <c r="I130" s="4" t="s">
        <v>209</v>
      </c>
      <c r="J130" s="4" t="s">
        <v>351</v>
      </c>
      <c r="K130" s="7" t="s">
        <v>466</v>
      </c>
    </row>
    <row r="131" spans="1:11" ht="28">
      <c r="A131" s="49">
        <v>129</v>
      </c>
      <c r="B131" s="50" t="s">
        <v>436</v>
      </c>
      <c r="C131" s="40" t="s">
        <v>14</v>
      </c>
      <c r="D131" s="40" t="s">
        <v>374</v>
      </c>
      <c r="E131" s="51">
        <v>2080</v>
      </c>
      <c r="F131" s="19">
        <v>2</v>
      </c>
      <c r="G131" s="40">
        <v>2007</v>
      </c>
      <c r="H131" s="40" t="s">
        <v>467</v>
      </c>
      <c r="I131" s="40" t="s">
        <v>468</v>
      </c>
      <c r="J131" s="40" t="s">
        <v>178</v>
      </c>
      <c r="K131" s="52" t="s">
        <v>469</v>
      </c>
    </row>
    <row r="132" spans="1:11" ht="28">
      <c r="A132" s="49">
        <v>130</v>
      </c>
      <c r="B132" s="50" t="s">
        <v>436</v>
      </c>
      <c r="C132" s="40" t="s">
        <v>14</v>
      </c>
      <c r="D132" s="40" t="s">
        <v>374</v>
      </c>
      <c r="E132" s="51">
        <v>2080</v>
      </c>
      <c r="F132" s="19">
        <v>1</v>
      </c>
      <c r="G132" s="40">
        <v>2006</v>
      </c>
      <c r="H132" s="40" t="s">
        <v>470</v>
      </c>
      <c r="I132" s="40" t="s">
        <v>445</v>
      </c>
      <c r="J132" s="40" t="s">
        <v>471</v>
      </c>
      <c r="K132" s="52" t="s">
        <v>472</v>
      </c>
    </row>
    <row r="133" spans="1:11" ht="28">
      <c r="A133" s="49">
        <v>131</v>
      </c>
      <c r="B133" s="50" t="s">
        <v>436</v>
      </c>
      <c r="C133" s="40" t="s">
        <v>14</v>
      </c>
      <c r="D133" s="40" t="s">
        <v>374</v>
      </c>
      <c r="E133" s="51">
        <v>2080</v>
      </c>
      <c r="F133" s="19">
        <v>2</v>
      </c>
      <c r="G133" s="40">
        <v>2008</v>
      </c>
      <c r="H133" s="40" t="s">
        <v>473</v>
      </c>
      <c r="I133" s="40" t="s">
        <v>474</v>
      </c>
      <c r="J133" s="40" t="s">
        <v>351</v>
      </c>
      <c r="K133" s="52" t="s">
        <v>475</v>
      </c>
    </row>
    <row r="134" spans="1:11" ht="28">
      <c r="A134" s="49">
        <v>132</v>
      </c>
      <c r="B134" s="50" t="s">
        <v>436</v>
      </c>
      <c r="C134" s="40" t="s">
        <v>14</v>
      </c>
      <c r="D134" s="40" t="s">
        <v>374</v>
      </c>
      <c r="E134" s="51">
        <v>2080</v>
      </c>
      <c r="F134" s="19">
        <v>2</v>
      </c>
      <c r="G134" s="40">
        <v>2012</v>
      </c>
      <c r="H134" s="40" t="s">
        <v>476</v>
      </c>
      <c r="I134" s="40" t="s">
        <v>477</v>
      </c>
      <c r="J134" s="40" t="s">
        <v>478</v>
      </c>
      <c r="K134" s="52" t="s">
        <v>479</v>
      </c>
    </row>
    <row r="135" spans="1:11" ht="28">
      <c r="A135" s="49">
        <v>133</v>
      </c>
      <c r="B135" s="50" t="s">
        <v>436</v>
      </c>
      <c r="C135" s="40" t="s">
        <v>14</v>
      </c>
      <c r="D135" s="40" t="s">
        <v>374</v>
      </c>
      <c r="E135" s="51">
        <v>2080</v>
      </c>
      <c r="F135" s="19">
        <v>1</v>
      </c>
      <c r="G135" s="40">
        <v>2011</v>
      </c>
      <c r="H135" s="40" t="s">
        <v>480</v>
      </c>
      <c r="I135" s="40" t="s">
        <v>481</v>
      </c>
      <c r="J135" s="40" t="s">
        <v>261</v>
      </c>
      <c r="K135" s="52" t="s">
        <v>482</v>
      </c>
    </row>
    <row r="136" spans="1:11" customFormat="1" ht="28">
      <c r="A136" s="1">
        <v>134</v>
      </c>
      <c r="B136" s="2" t="s">
        <v>436</v>
      </c>
      <c r="C136" s="4" t="s">
        <v>14</v>
      </c>
      <c r="D136" s="4" t="s">
        <v>374</v>
      </c>
      <c r="E136" s="5">
        <v>2080</v>
      </c>
      <c r="F136" s="3">
        <v>3</v>
      </c>
      <c r="G136" s="4">
        <v>2010</v>
      </c>
      <c r="H136" s="6" t="s">
        <v>483</v>
      </c>
      <c r="I136" s="4" t="s">
        <v>484</v>
      </c>
      <c r="J136" s="4" t="s">
        <v>485</v>
      </c>
      <c r="K136" s="7" t="s">
        <v>486</v>
      </c>
    </row>
    <row r="137" spans="1:11" ht="28">
      <c r="A137" s="49">
        <v>135</v>
      </c>
      <c r="B137" s="50" t="s">
        <v>436</v>
      </c>
      <c r="C137" s="40" t="s">
        <v>14</v>
      </c>
      <c r="D137" s="40" t="s">
        <v>374</v>
      </c>
      <c r="E137" s="51">
        <v>2080</v>
      </c>
      <c r="F137" s="19">
        <v>2</v>
      </c>
      <c r="G137" s="40">
        <v>2006</v>
      </c>
      <c r="H137" s="40" t="s">
        <v>487</v>
      </c>
      <c r="I137" s="40" t="s">
        <v>481</v>
      </c>
      <c r="J137" s="40" t="s">
        <v>488</v>
      </c>
      <c r="K137" s="52" t="s">
        <v>489</v>
      </c>
    </row>
    <row r="138" spans="1:11" customFormat="1" ht="28">
      <c r="A138" s="1">
        <v>136</v>
      </c>
      <c r="B138" s="2" t="s">
        <v>436</v>
      </c>
      <c r="C138" s="4" t="s">
        <v>14</v>
      </c>
      <c r="D138" s="4" t="s">
        <v>374</v>
      </c>
      <c r="E138" s="5">
        <v>2080</v>
      </c>
      <c r="F138" s="3">
        <v>3</v>
      </c>
      <c r="G138" s="4">
        <v>2008</v>
      </c>
      <c r="H138" s="6" t="s">
        <v>490</v>
      </c>
      <c r="I138" s="4" t="s">
        <v>491</v>
      </c>
      <c r="J138" s="4" t="s">
        <v>492</v>
      </c>
      <c r="K138" s="7" t="s">
        <v>493</v>
      </c>
    </row>
    <row r="139" spans="1:11" customFormat="1" ht="28">
      <c r="A139" s="1">
        <v>137</v>
      </c>
      <c r="B139" s="2" t="s">
        <v>436</v>
      </c>
      <c r="C139" s="4" t="s">
        <v>14</v>
      </c>
      <c r="D139" s="4" t="s">
        <v>374</v>
      </c>
      <c r="E139" s="5">
        <v>2080</v>
      </c>
      <c r="F139" s="3">
        <v>3</v>
      </c>
      <c r="G139" s="4">
        <v>2007</v>
      </c>
      <c r="H139" s="6" t="s">
        <v>494</v>
      </c>
      <c r="I139" s="4" t="s">
        <v>114</v>
      </c>
      <c r="J139" s="4" t="s">
        <v>178</v>
      </c>
      <c r="K139" s="7" t="s">
        <v>495</v>
      </c>
    </row>
    <row r="140" spans="1:11" ht="28">
      <c r="A140" s="49">
        <v>138</v>
      </c>
      <c r="B140" s="50" t="s">
        <v>436</v>
      </c>
      <c r="C140" s="40" t="s">
        <v>14</v>
      </c>
      <c r="D140" s="40" t="s">
        <v>374</v>
      </c>
      <c r="E140" s="51">
        <v>2080</v>
      </c>
      <c r="F140" s="19">
        <v>2</v>
      </c>
      <c r="G140" s="40">
        <v>2011</v>
      </c>
      <c r="H140" s="40" t="s">
        <v>496</v>
      </c>
      <c r="I140" s="40" t="s">
        <v>445</v>
      </c>
      <c r="J140" s="40" t="s">
        <v>497</v>
      </c>
      <c r="K140" s="52" t="s">
        <v>498</v>
      </c>
    </row>
    <row r="141" spans="1:11" ht="28">
      <c r="A141" s="49">
        <v>139</v>
      </c>
      <c r="B141" s="50" t="s">
        <v>436</v>
      </c>
      <c r="C141" s="40" t="s">
        <v>14</v>
      </c>
      <c r="D141" s="40" t="s">
        <v>374</v>
      </c>
      <c r="E141" s="51">
        <v>2080</v>
      </c>
      <c r="F141" s="19">
        <v>2</v>
      </c>
      <c r="G141" s="40">
        <v>2009</v>
      </c>
      <c r="H141" s="40" t="s">
        <v>499</v>
      </c>
      <c r="I141" s="40" t="s">
        <v>500</v>
      </c>
      <c r="J141" s="40" t="s">
        <v>501</v>
      </c>
      <c r="K141" s="52" t="s">
        <v>502</v>
      </c>
    </row>
    <row r="142" spans="1:11" ht="28">
      <c r="A142" s="49">
        <v>140</v>
      </c>
      <c r="B142" s="50" t="s">
        <v>436</v>
      </c>
      <c r="C142" s="40" t="s">
        <v>14</v>
      </c>
      <c r="D142" s="40" t="s">
        <v>374</v>
      </c>
      <c r="E142" s="51">
        <v>2080</v>
      </c>
      <c r="F142" s="19">
        <v>2</v>
      </c>
      <c r="G142" s="40">
        <v>2009</v>
      </c>
      <c r="H142" s="40" t="s">
        <v>503</v>
      </c>
      <c r="I142" s="40" t="s">
        <v>504</v>
      </c>
      <c r="J142" s="40" t="s">
        <v>505</v>
      </c>
      <c r="K142" s="52" t="s">
        <v>506</v>
      </c>
    </row>
    <row r="143" spans="1:11" customFormat="1" ht="28">
      <c r="A143" s="1">
        <v>141</v>
      </c>
      <c r="B143" s="2" t="s">
        <v>436</v>
      </c>
      <c r="C143" s="4" t="s">
        <v>14</v>
      </c>
      <c r="D143" s="4" t="s">
        <v>374</v>
      </c>
      <c r="E143" s="5">
        <v>2080</v>
      </c>
      <c r="F143" s="3">
        <v>3</v>
      </c>
      <c r="G143" s="4">
        <v>2011</v>
      </c>
      <c r="H143" s="6" t="s">
        <v>507</v>
      </c>
      <c r="I143" s="4" t="s">
        <v>508</v>
      </c>
      <c r="J143" s="4" t="s">
        <v>509</v>
      </c>
      <c r="K143" s="7" t="s">
        <v>510</v>
      </c>
    </row>
    <row r="144" spans="1:11" ht="28">
      <c r="A144" s="49">
        <v>142</v>
      </c>
      <c r="B144" s="50" t="s">
        <v>436</v>
      </c>
      <c r="C144" s="40" t="s">
        <v>14</v>
      </c>
      <c r="D144" s="40" t="s">
        <v>374</v>
      </c>
      <c r="E144" s="51">
        <v>2080</v>
      </c>
      <c r="F144" s="19">
        <v>1</v>
      </c>
      <c r="G144" s="40">
        <v>2009</v>
      </c>
      <c r="H144" s="40" t="s">
        <v>511</v>
      </c>
      <c r="I144" s="40" t="s">
        <v>512</v>
      </c>
      <c r="J144" s="40" t="s">
        <v>513</v>
      </c>
      <c r="K144" s="52" t="s">
        <v>514</v>
      </c>
    </row>
    <row r="145" spans="1:11" customFormat="1" ht="28">
      <c r="A145" s="1">
        <v>143</v>
      </c>
      <c r="B145" s="2" t="s">
        <v>436</v>
      </c>
      <c r="C145" s="4" t="s">
        <v>14</v>
      </c>
      <c r="D145" s="4" t="s">
        <v>374</v>
      </c>
      <c r="E145" s="5">
        <v>2080</v>
      </c>
      <c r="F145" s="3">
        <v>3</v>
      </c>
      <c r="G145" s="4">
        <v>2010</v>
      </c>
      <c r="H145" s="6" t="s">
        <v>515</v>
      </c>
      <c r="I145" s="4" t="s">
        <v>516</v>
      </c>
      <c r="J145" s="4" t="s">
        <v>517</v>
      </c>
      <c r="K145" s="7" t="s">
        <v>518</v>
      </c>
    </row>
    <row r="146" spans="1:11" customFormat="1" ht="28">
      <c r="A146" s="1">
        <v>144</v>
      </c>
      <c r="B146" s="2" t="s">
        <v>436</v>
      </c>
      <c r="C146" s="4" t="s">
        <v>14</v>
      </c>
      <c r="D146" s="4" t="s">
        <v>374</v>
      </c>
      <c r="E146" s="5">
        <v>2080</v>
      </c>
      <c r="F146" s="3">
        <v>3</v>
      </c>
      <c r="G146" s="4">
        <v>2008</v>
      </c>
      <c r="H146" s="6" t="s">
        <v>519</v>
      </c>
      <c r="I146" s="4" t="s">
        <v>520</v>
      </c>
      <c r="J146" s="4" t="s">
        <v>115</v>
      </c>
      <c r="K146" s="7" t="s">
        <v>521</v>
      </c>
    </row>
    <row r="147" spans="1:11" ht="28">
      <c r="A147" s="49">
        <v>145</v>
      </c>
      <c r="B147" s="50" t="s">
        <v>436</v>
      </c>
      <c r="C147" s="40" t="s">
        <v>14</v>
      </c>
      <c r="D147" s="40" t="s">
        <v>374</v>
      </c>
      <c r="E147" s="51">
        <v>2080</v>
      </c>
      <c r="F147" s="19">
        <v>1</v>
      </c>
      <c r="G147" s="40">
        <v>2009</v>
      </c>
      <c r="H147" s="40" t="s">
        <v>522</v>
      </c>
      <c r="I147" s="40" t="s">
        <v>523</v>
      </c>
      <c r="J147" s="40" t="s">
        <v>524</v>
      </c>
      <c r="K147" s="52" t="s">
        <v>525</v>
      </c>
    </row>
    <row r="148" spans="1:11" ht="28">
      <c r="A148" s="49">
        <v>146</v>
      </c>
      <c r="B148" s="50" t="s">
        <v>436</v>
      </c>
      <c r="C148" s="40" t="s">
        <v>14</v>
      </c>
      <c r="D148" s="40" t="s">
        <v>374</v>
      </c>
      <c r="E148" s="51">
        <v>2080</v>
      </c>
      <c r="F148" s="19">
        <v>1</v>
      </c>
      <c r="G148" s="40">
        <v>2010</v>
      </c>
      <c r="H148" s="40" t="s">
        <v>526</v>
      </c>
      <c r="I148" s="40" t="s">
        <v>90</v>
      </c>
      <c r="J148" s="40" t="s">
        <v>527</v>
      </c>
      <c r="K148" s="52" t="s">
        <v>528</v>
      </c>
    </row>
    <row r="149" spans="1:11" ht="28">
      <c r="A149" s="49">
        <v>147</v>
      </c>
      <c r="B149" s="50" t="s">
        <v>436</v>
      </c>
      <c r="C149" s="40" t="s">
        <v>14</v>
      </c>
      <c r="D149" s="40" t="s">
        <v>374</v>
      </c>
      <c r="E149" s="51">
        <v>2080</v>
      </c>
      <c r="F149" s="19">
        <v>1</v>
      </c>
      <c r="G149" s="40">
        <v>2010</v>
      </c>
      <c r="H149" s="40" t="s">
        <v>529</v>
      </c>
      <c r="I149" s="40" t="s">
        <v>37</v>
      </c>
      <c r="J149" s="40" t="s">
        <v>530</v>
      </c>
      <c r="K149" s="52" t="s">
        <v>531</v>
      </c>
    </row>
    <row r="150" spans="1:11" ht="28">
      <c r="A150" s="49">
        <v>148</v>
      </c>
      <c r="B150" s="50" t="s">
        <v>436</v>
      </c>
      <c r="C150" s="40" t="s">
        <v>14</v>
      </c>
      <c r="D150" s="40" t="s">
        <v>374</v>
      </c>
      <c r="E150" s="51">
        <v>2080</v>
      </c>
      <c r="F150" s="19">
        <v>2</v>
      </c>
      <c r="G150" s="40">
        <v>2011</v>
      </c>
      <c r="H150" s="40" t="s">
        <v>532</v>
      </c>
      <c r="I150" s="40" t="s">
        <v>533</v>
      </c>
      <c r="J150" s="40" t="s">
        <v>152</v>
      </c>
      <c r="K150" s="52" t="s">
        <v>534</v>
      </c>
    </row>
    <row r="151" spans="1:11" customFormat="1" ht="28">
      <c r="A151" s="1">
        <v>149</v>
      </c>
      <c r="B151" s="2" t="s">
        <v>436</v>
      </c>
      <c r="C151" s="4" t="s">
        <v>14</v>
      </c>
      <c r="D151" s="4" t="s">
        <v>374</v>
      </c>
      <c r="E151" s="5">
        <v>2080</v>
      </c>
      <c r="F151" s="3">
        <v>3</v>
      </c>
      <c r="G151" s="4">
        <v>2009</v>
      </c>
      <c r="H151" s="6" t="s">
        <v>535</v>
      </c>
      <c r="I151" s="4" t="s">
        <v>445</v>
      </c>
      <c r="J151" s="4" t="s">
        <v>492</v>
      </c>
      <c r="K151" s="7" t="s">
        <v>536</v>
      </c>
    </row>
    <row r="152" spans="1:11" customFormat="1" ht="28">
      <c r="A152" s="1">
        <v>150</v>
      </c>
      <c r="B152" s="2" t="s">
        <v>436</v>
      </c>
      <c r="C152" s="4" t="s">
        <v>14</v>
      </c>
      <c r="D152" s="4" t="s">
        <v>374</v>
      </c>
      <c r="E152" s="5">
        <v>2080</v>
      </c>
      <c r="F152" s="3">
        <v>3</v>
      </c>
      <c r="G152" s="4">
        <v>2010</v>
      </c>
      <c r="H152" s="6" t="s">
        <v>537</v>
      </c>
      <c r="I152" s="4" t="s">
        <v>484</v>
      </c>
      <c r="J152" s="4" t="s">
        <v>538</v>
      </c>
      <c r="K152" s="7" t="s">
        <v>539</v>
      </c>
    </row>
    <row r="153" spans="1:11" customFormat="1" ht="28">
      <c r="A153" s="1">
        <v>151</v>
      </c>
      <c r="B153" s="2" t="s">
        <v>436</v>
      </c>
      <c r="C153" s="4" t="s">
        <v>14</v>
      </c>
      <c r="D153" s="4" t="s">
        <v>374</v>
      </c>
      <c r="E153" s="5">
        <v>2080</v>
      </c>
      <c r="F153" s="3">
        <v>3</v>
      </c>
      <c r="G153" s="4">
        <v>2010</v>
      </c>
      <c r="H153" s="6" t="s">
        <v>540</v>
      </c>
      <c r="I153" s="4" t="s">
        <v>484</v>
      </c>
      <c r="J153" s="4" t="s">
        <v>541</v>
      </c>
      <c r="K153" s="7" t="s">
        <v>542</v>
      </c>
    </row>
    <row r="154" spans="1:11" ht="28">
      <c r="A154" s="49">
        <v>152</v>
      </c>
      <c r="B154" s="50" t="s">
        <v>436</v>
      </c>
      <c r="C154" s="40" t="s">
        <v>14</v>
      </c>
      <c r="D154" s="40" t="s">
        <v>374</v>
      </c>
      <c r="E154" s="51">
        <v>2080</v>
      </c>
      <c r="F154" s="19">
        <v>2</v>
      </c>
      <c r="G154" s="40">
        <v>2008</v>
      </c>
      <c r="H154" s="40" t="s">
        <v>543</v>
      </c>
      <c r="I154" s="40" t="s">
        <v>445</v>
      </c>
      <c r="J154" s="40" t="s">
        <v>544</v>
      </c>
      <c r="K154" s="52" t="s">
        <v>545</v>
      </c>
    </row>
    <row r="155" spans="1:11" ht="28">
      <c r="A155" s="49">
        <v>153</v>
      </c>
      <c r="B155" s="50" t="s">
        <v>436</v>
      </c>
      <c r="C155" s="40" t="s">
        <v>14</v>
      </c>
      <c r="D155" s="40" t="s">
        <v>374</v>
      </c>
      <c r="E155" s="51">
        <v>2080</v>
      </c>
      <c r="F155" s="19">
        <v>1</v>
      </c>
      <c r="G155" s="40">
        <v>2011</v>
      </c>
      <c r="H155" s="40" t="s">
        <v>546</v>
      </c>
      <c r="I155" s="40" t="s">
        <v>37</v>
      </c>
      <c r="J155" s="40" t="s">
        <v>547</v>
      </c>
      <c r="K155" s="52" t="s">
        <v>548</v>
      </c>
    </row>
    <row r="156" spans="1:11" ht="28">
      <c r="A156" s="49">
        <v>154</v>
      </c>
      <c r="B156" s="50" t="s">
        <v>436</v>
      </c>
      <c r="C156" s="40" t="s">
        <v>14</v>
      </c>
      <c r="D156" s="40" t="s">
        <v>374</v>
      </c>
      <c r="E156" s="51">
        <v>2080</v>
      </c>
      <c r="F156" s="19">
        <v>2</v>
      </c>
      <c r="G156" s="40">
        <v>2009</v>
      </c>
      <c r="H156" s="40" t="s">
        <v>549</v>
      </c>
      <c r="I156" s="40" t="s">
        <v>90</v>
      </c>
      <c r="J156" s="40" t="s">
        <v>550</v>
      </c>
      <c r="K156" s="52" t="s">
        <v>551</v>
      </c>
    </row>
    <row r="157" spans="1:11" ht="28">
      <c r="A157" s="49">
        <v>155</v>
      </c>
      <c r="B157" s="50" t="s">
        <v>436</v>
      </c>
      <c r="C157" s="40" t="s">
        <v>14</v>
      </c>
      <c r="D157" s="40" t="s">
        <v>374</v>
      </c>
      <c r="E157" s="51">
        <v>2080</v>
      </c>
      <c r="F157" s="19">
        <v>4</v>
      </c>
      <c r="G157" s="40">
        <v>2006</v>
      </c>
      <c r="H157" s="40" t="s">
        <v>552</v>
      </c>
      <c r="I157" s="40" t="s">
        <v>474</v>
      </c>
      <c r="J157" s="40" t="s">
        <v>553</v>
      </c>
      <c r="K157" s="52" t="s">
        <v>554</v>
      </c>
    </row>
    <row r="158" spans="1:11" ht="28">
      <c r="A158" s="49">
        <v>156</v>
      </c>
      <c r="B158" s="50" t="s">
        <v>436</v>
      </c>
      <c r="C158" s="40" t="s">
        <v>14</v>
      </c>
      <c r="D158" s="40" t="s">
        <v>374</v>
      </c>
      <c r="E158" s="51">
        <v>2080</v>
      </c>
      <c r="F158" s="19">
        <v>1</v>
      </c>
      <c r="G158" s="40">
        <v>2009</v>
      </c>
      <c r="H158" s="40" t="s">
        <v>555</v>
      </c>
      <c r="I158" s="40" t="s">
        <v>37</v>
      </c>
      <c r="J158" s="40" t="s">
        <v>556</v>
      </c>
      <c r="K158" s="52" t="s">
        <v>557</v>
      </c>
    </row>
    <row r="159" spans="1:11" ht="28">
      <c r="A159" s="49">
        <v>157</v>
      </c>
      <c r="B159" s="50" t="s">
        <v>436</v>
      </c>
      <c r="C159" s="40" t="s">
        <v>14</v>
      </c>
      <c r="D159" s="40" t="s">
        <v>374</v>
      </c>
      <c r="E159" s="51">
        <v>2080</v>
      </c>
      <c r="F159" s="19">
        <v>1</v>
      </c>
      <c r="G159" s="40">
        <v>2008</v>
      </c>
      <c r="H159" s="40" t="s">
        <v>558</v>
      </c>
      <c r="I159" s="40" t="s">
        <v>459</v>
      </c>
      <c r="J159" s="40" t="s">
        <v>261</v>
      </c>
      <c r="K159" s="52" t="s">
        <v>559</v>
      </c>
    </row>
    <row r="160" spans="1:11" ht="28">
      <c r="A160" s="49">
        <v>158</v>
      </c>
      <c r="B160" s="50" t="s">
        <v>436</v>
      </c>
      <c r="C160" s="40" t="s">
        <v>14</v>
      </c>
      <c r="D160" s="40" t="s">
        <v>374</v>
      </c>
      <c r="E160" s="51">
        <v>2080</v>
      </c>
      <c r="F160" s="19">
        <v>1</v>
      </c>
      <c r="G160" s="40">
        <v>2013</v>
      </c>
      <c r="H160" s="40" t="s">
        <v>560</v>
      </c>
      <c r="I160" s="40" t="s">
        <v>561</v>
      </c>
      <c r="J160" s="40" t="s">
        <v>562</v>
      </c>
      <c r="K160" s="52" t="s">
        <v>563</v>
      </c>
    </row>
    <row r="161" spans="1:11" customFormat="1" ht="28">
      <c r="A161" s="1">
        <v>159</v>
      </c>
      <c r="B161" s="2" t="s">
        <v>436</v>
      </c>
      <c r="C161" s="4" t="s">
        <v>14</v>
      </c>
      <c r="D161" s="4" t="s">
        <v>374</v>
      </c>
      <c r="E161" s="5">
        <v>2080</v>
      </c>
      <c r="F161" s="3">
        <v>3</v>
      </c>
      <c r="G161" s="4">
        <v>2012</v>
      </c>
      <c r="H161" s="6" t="s">
        <v>564</v>
      </c>
      <c r="I161" s="4" t="s">
        <v>445</v>
      </c>
      <c r="J161" s="4" t="s">
        <v>565</v>
      </c>
      <c r="K161" s="7" t="s">
        <v>566</v>
      </c>
    </row>
    <row r="162" spans="1:11" ht="28">
      <c r="A162" s="49">
        <v>160</v>
      </c>
      <c r="B162" s="50" t="s">
        <v>436</v>
      </c>
      <c r="C162" s="40" t="s">
        <v>14</v>
      </c>
      <c r="D162" s="40" t="s">
        <v>374</v>
      </c>
      <c r="E162" s="51">
        <v>2080</v>
      </c>
      <c r="F162" s="19">
        <v>2</v>
      </c>
      <c r="G162" s="40">
        <v>2010</v>
      </c>
      <c r="H162" s="40" t="s">
        <v>567</v>
      </c>
      <c r="I162" s="40" t="s">
        <v>445</v>
      </c>
      <c r="J162" s="40" t="s">
        <v>517</v>
      </c>
      <c r="K162" s="52" t="s">
        <v>568</v>
      </c>
    </row>
    <row r="163" spans="1:11" customFormat="1" ht="28">
      <c r="A163" s="1">
        <v>161</v>
      </c>
      <c r="B163" s="2" t="s">
        <v>436</v>
      </c>
      <c r="C163" s="4" t="s">
        <v>14</v>
      </c>
      <c r="D163" s="4" t="s">
        <v>374</v>
      </c>
      <c r="E163" s="5">
        <v>2080</v>
      </c>
      <c r="F163" s="3">
        <v>3</v>
      </c>
      <c r="G163" s="4">
        <v>2010</v>
      </c>
      <c r="H163" s="6" t="s">
        <v>569</v>
      </c>
      <c r="I163" s="4" t="s">
        <v>570</v>
      </c>
      <c r="J163" s="4" t="s">
        <v>446</v>
      </c>
      <c r="K163" s="7" t="s">
        <v>571</v>
      </c>
    </row>
    <row r="164" spans="1:11" customFormat="1" ht="28">
      <c r="A164" s="1">
        <v>162</v>
      </c>
      <c r="B164" s="2" t="s">
        <v>436</v>
      </c>
      <c r="C164" s="4" t="s">
        <v>14</v>
      </c>
      <c r="D164" s="4" t="s">
        <v>374</v>
      </c>
      <c r="E164" s="5">
        <v>2080</v>
      </c>
      <c r="F164" s="3">
        <v>3</v>
      </c>
      <c r="G164" s="4">
        <v>2012</v>
      </c>
      <c r="H164" s="6" t="s">
        <v>572</v>
      </c>
      <c r="I164" s="4" t="s">
        <v>445</v>
      </c>
      <c r="J164" s="4" t="s">
        <v>517</v>
      </c>
      <c r="K164" s="7" t="s">
        <v>573</v>
      </c>
    </row>
    <row r="165" spans="1:11" customFormat="1" ht="28">
      <c r="A165" s="1">
        <v>163</v>
      </c>
      <c r="B165" s="2" t="s">
        <v>436</v>
      </c>
      <c r="C165" s="4" t="s">
        <v>14</v>
      </c>
      <c r="D165" s="4" t="s">
        <v>374</v>
      </c>
      <c r="E165" s="5">
        <v>2080</v>
      </c>
      <c r="F165" s="3">
        <v>3</v>
      </c>
      <c r="G165" s="4">
        <v>2011</v>
      </c>
      <c r="H165" s="6" t="s">
        <v>574</v>
      </c>
      <c r="I165" s="4" t="s">
        <v>508</v>
      </c>
      <c r="J165" s="4" t="s">
        <v>575</v>
      </c>
      <c r="K165" s="7" t="s">
        <v>576</v>
      </c>
    </row>
    <row r="166" spans="1:11" ht="28">
      <c r="A166" s="49">
        <v>164</v>
      </c>
      <c r="B166" s="50" t="s">
        <v>577</v>
      </c>
      <c r="C166" s="40" t="s">
        <v>14</v>
      </c>
      <c r="D166" s="40" t="s">
        <v>374</v>
      </c>
      <c r="E166" s="40">
        <v>964</v>
      </c>
      <c r="F166" s="19">
        <v>1</v>
      </c>
      <c r="G166" s="40">
        <v>2010</v>
      </c>
      <c r="H166" s="40" t="s">
        <v>578</v>
      </c>
      <c r="I166" s="40" t="s">
        <v>579</v>
      </c>
      <c r="J166" s="40" t="s">
        <v>580</v>
      </c>
      <c r="K166" s="52" t="s">
        <v>581</v>
      </c>
    </row>
    <row r="167" spans="1:11" ht="28">
      <c r="A167" s="49">
        <v>165</v>
      </c>
      <c r="B167" s="50" t="s">
        <v>577</v>
      </c>
      <c r="C167" s="40" t="s">
        <v>14</v>
      </c>
      <c r="D167" s="40" t="s">
        <v>374</v>
      </c>
      <c r="E167" s="40">
        <v>964</v>
      </c>
      <c r="F167" s="19">
        <v>2</v>
      </c>
      <c r="G167" s="40">
        <v>2012</v>
      </c>
      <c r="H167" s="40" t="s">
        <v>582</v>
      </c>
      <c r="I167" s="40" t="s">
        <v>445</v>
      </c>
      <c r="J167" s="40" t="s">
        <v>583</v>
      </c>
      <c r="K167" s="52" t="s">
        <v>584</v>
      </c>
    </row>
    <row r="168" spans="1:11" customFormat="1" ht="28">
      <c r="A168" s="1">
        <v>166</v>
      </c>
      <c r="B168" s="2" t="s">
        <v>577</v>
      </c>
      <c r="C168" s="4" t="s">
        <v>14</v>
      </c>
      <c r="D168" s="4" t="s">
        <v>374</v>
      </c>
      <c r="E168" s="4">
        <v>964</v>
      </c>
      <c r="F168" s="3">
        <v>3</v>
      </c>
      <c r="G168" s="4">
        <v>2009</v>
      </c>
      <c r="H168" s="6" t="s">
        <v>585</v>
      </c>
      <c r="I168" s="4" t="s">
        <v>586</v>
      </c>
      <c r="J168" s="4" t="s">
        <v>587</v>
      </c>
      <c r="K168" s="7" t="s">
        <v>588</v>
      </c>
    </row>
    <row r="169" spans="1:11" customFormat="1" ht="28">
      <c r="A169" s="1">
        <v>167</v>
      </c>
      <c r="B169" s="2" t="s">
        <v>577</v>
      </c>
      <c r="C169" s="4" t="s">
        <v>14</v>
      </c>
      <c r="D169" s="4" t="s">
        <v>374</v>
      </c>
      <c r="E169" s="4">
        <v>964</v>
      </c>
      <c r="F169" s="3">
        <v>3</v>
      </c>
      <c r="G169" s="4">
        <v>2007</v>
      </c>
      <c r="H169" s="6" t="s">
        <v>589</v>
      </c>
      <c r="I169" s="4" t="s">
        <v>25</v>
      </c>
      <c r="J169" s="4" t="s">
        <v>590</v>
      </c>
      <c r="K169" s="7" t="s">
        <v>591</v>
      </c>
    </row>
    <row r="170" spans="1:11" ht="28">
      <c r="A170" s="49">
        <v>168</v>
      </c>
      <c r="B170" s="50" t="s">
        <v>577</v>
      </c>
      <c r="C170" s="40" t="s">
        <v>14</v>
      </c>
      <c r="D170" s="40" t="s">
        <v>374</v>
      </c>
      <c r="E170" s="40">
        <v>964</v>
      </c>
      <c r="F170" s="19">
        <v>2</v>
      </c>
      <c r="G170" s="40">
        <v>2010</v>
      </c>
      <c r="H170" s="40" t="s">
        <v>592</v>
      </c>
      <c r="I170" s="40" t="s">
        <v>37</v>
      </c>
      <c r="J170" s="40" t="s">
        <v>593</v>
      </c>
      <c r="K170" s="52" t="s">
        <v>594</v>
      </c>
    </row>
    <row r="171" spans="1:11" customFormat="1" ht="28">
      <c r="A171" s="1">
        <v>169</v>
      </c>
      <c r="B171" s="2" t="s">
        <v>577</v>
      </c>
      <c r="C171" s="4" t="s">
        <v>14</v>
      </c>
      <c r="D171" s="4" t="s">
        <v>374</v>
      </c>
      <c r="E171" s="4">
        <v>964</v>
      </c>
      <c r="F171" s="3">
        <v>3</v>
      </c>
      <c r="G171" s="4">
        <v>2011</v>
      </c>
      <c r="H171" s="6" t="s">
        <v>595</v>
      </c>
      <c r="I171" s="4" t="s">
        <v>474</v>
      </c>
      <c r="J171" s="4" t="s">
        <v>596</v>
      </c>
      <c r="K171" s="7" t="s">
        <v>597</v>
      </c>
    </row>
    <row r="172" spans="1:11" customFormat="1" ht="28">
      <c r="A172" s="1">
        <v>170</v>
      </c>
      <c r="B172" s="2" t="s">
        <v>577</v>
      </c>
      <c r="C172" s="4" t="s">
        <v>14</v>
      </c>
      <c r="D172" s="4" t="s">
        <v>374</v>
      </c>
      <c r="E172" s="4">
        <v>964</v>
      </c>
      <c r="F172" s="3">
        <v>3</v>
      </c>
      <c r="G172" s="4">
        <v>2012</v>
      </c>
      <c r="H172" s="6" t="s">
        <v>598</v>
      </c>
      <c r="I172" s="4" t="s">
        <v>599</v>
      </c>
      <c r="J172" s="4" t="s">
        <v>600</v>
      </c>
      <c r="K172" s="7" t="s">
        <v>601</v>
      </c>
    </row>
    <row r="173" spans="1:11" ht="28">
      <c r="A173" s="49">
        <v>171</v>
      </c>
      <c r="B173" s="50" t="s">
        <v>577</v>
      </c>
      <c r="C173" s="40" t="s">
        <v>14</v>
      </c>
      <c r="D173" s="40" t="s">
        <v>374</v>
      </c>
      <c r="E173" s="40">
        <v>964</v>
      </c>
      <c r="F173" s="19">
        <v>2</v>
      </c>
      <c r="G173" s="40">
        <v>2006</v>
      </c>
      <c r="H173" s="40" t="s">
        <v>602</v>
      </c>
      <c r="I173" s="40" t="s">
        <v>603</v>
      </c>
      <c r="J173" s="40" t="s">
        <v>604</v>
      </c>
      <c r="K173" s="52" t="s">
        <v>605</v>
      </c>
    </row>
    <row r="174" spans="1:11" customFormat="1" ht="28">
      <c r="A174" s="1">
        <v>172</v>
      </c>
      <c r="B174" s="2" t="s">
        <v>577</v>
      </c>
      <c r="C174" s="4" t="s">
        <v>14</v>
      </c>
      <c r="D174" s="4" t="s">
        <v>374</v>
      </c>
      <c r="E174" s="4">
        <v>964</v>
      </c>
      <c r="F174" s="3">
        <v>3</v>
      </c>
      <c r="G174" s="4">
        <v>2014</v>
      </c>
      <c r="H174" s="6" t="s">
        <v>606</v>
      </c>
      <c r="I174" s="4" t="s">
        <v>607</v>
      </c>
      <c r="J174" s="4" t="s">
        <v>608</v>
      </c>
      <c r="K174" s="7" t="s">
        <v>609</v>
      </c>
    </row>
    <row r="175" spans="1:11" customFormat="1" ht="28">
      <c r="A175" s="1">
        <v>173</v>
      </c>
      <c r="B175" s="2" t="s">
        <v>577</v>
      </c>
      <c r="C175" s="4" t="s">
        <v>14</v>
      </c>
      <c r="D175" s="4" t="s">
        <v>374</v>
      </c>
      <c r="E175" s="4">
        <v>964</v>
      </c>
      <c r="F175" s="3">
        <v>3</v>
      </c>
      <c r="G175" s="4">
        <v>2011</v>
      </c>
      <c r="H175" s="6" t="s">
        <v>610</v>
      </c>
      <c r="I175" s="4" t="s">
        <v>611</v>
      </c>
      <c r="J175" s="4" t="s">
        <v>612</v>
      </c>
      <c r="K175" s="7" t="s">
        <v>613</v>
      </c>
    </row>
    <row r="176" spans="1:11" customFormat="1" ht="28">
      <c r="A176" s="1">
        <v>174</v>
      </c>
      <c r="B176" s="2" t="s">
        <v>577</v>
      </c>
      <c r="C176" s="4" t="s">
        <v>14</v>
      </c>
      <c r="D176" s="4" t="s">
        <v>374</v>
      </c>
      <c r="E176" s="4">
        <v>964</v>
      </c>
      <c r="F176" s="3">
        <v>3</v>
      </c>
      <c r="G176" s="4">
        <v>2008</v>
      </c>
      <c r="H176" s="6" t="s">
        <v>614</v>
      </c>
      <c r="I176" s="4" t="s">
        <v>484</v>
      </c>
      <c r="J176" s="4" t="s">
        <v>492</v>
      </c>
      <c r="K176" s="7" t="s">
        <v>615</v>
      </c>
    </row>
    <row r="177" spans="1:11" customFormat="1" ht="28">
      <c r="A177" s="1">
        <v>175</v>
      </c>
      <c r="B177" s="2" t="s">
        <v>577</v>
      </c>
      <c r="C177" s="4" t="s">
        <v>14</v>
      </c>
      <c r="D177" s="4" t="s">
        <v>374</v>
      </c>
      <c r="E177" s="4">
        <v>964</v>
      </c>
      <c r="F177" s="3">
        <v>3</v>
      </c>
      <c r="G177" s="4">
        <v>2008</v>
      </c>
      <c r="H177" s="6" t="s">
        <v>616</v>
      </c>
      <c r="I177" s="4" t="s">
        <v>617</v>
      </c>
      <c r="J177" s="4" t="s">
        <v>618</v>
      </c>
      <c r="K177" s="7" t="s">
        <v>619</v>
      </c>
    </row>
    <row r="178" spans="1:11" customFormat="1" ht="14">
      <c r="A178" s="1">
        <v>176</v>
      </c>
      <c r="B178" s="2" t="s">
        <v>620</v>
      </c>
      <c r="C178" s="4" t="s">
        <v>14</v>
      </c>
      <c r="D178" s="4" t="s">
        <v>15</v>
      </c>
      <c r="E178" s="5">
        <v>1430000</v>
      </c>
      <c r="F178" s="3">
        <v>4</v>
      </c>
      <c r="G178" s="4">
        <v>2006</v>
      </c>
      <c r="H178" s="6" t="s">
        <v>621</v>
      </c>
      <c r="I178" s="4" t="s">
        <v>87</v>
      </c>
      <c r="J178" s="4" t="s">
        <v>622</v>
      </c>
      <c r="K178" s="7" t="s">
        <v>623</v>
      </c>
    </row>
    <row r="179" spans="1:11" customFormat="1" ht="14">
      <c r="A179" s="1">
        <v>177</v>
      </c>
      <c r="B179" s="2" t="s">
        <v>620</v>
      </c>
      <c r="C179" s="4" t="s">
        <v>14</v>
      </c>
      <c r="D179" s="4" t="s">
        <v>15</v>
      </c>
      <c r="E179" s="5">
        <v>1430000</v>
      </c>
      <c r="F179" s="3">
        <v>3</v>
      </c>
      <c r="G179" s="4">
        <v>2008</v>
      </c>
      <c r="H179" s="6" t="s">
        <v>624</v>
      </c>
      <c r="I179" s="9" t="s">
        <v>64</v>
      </c>
      <c r="J179" s="4" t="s">
        <v>625</v>
      </c>
      <c r="K179" s="7" t="s">
        <v>626</v>
      </c>
    </row>
    <row r="180" spans="1:11" customFormat="1" ht="14">
      <c r="A180" s="1">
        <v>178</v>
      </c>
      <c r="B180" s="2" t="s">
        <v>620</v>
      </c>
      <c r="C180" s="4" t="s">
        <v>14</v>
      </c>
      <c r="D180" s="4" t="s">
        <v>15</v>
      </c>
      <c r="E180" s="5">
        <v>1430000</v>
      </c>
      <c r="F180" s="3">
        <v>4</v>
      </c>
      <c r="G180" s="4">
        <v>2008</v>
      </c>
      <c r="H180" s="6" t="s">
        <v>627</v>
      </c>
      <c r="I180" s="4" t="s">
        <v>370</v>
      </c>
      <c r="J180" s="4" t="s">
        <v>628</v>
      </c>
      <c r="K180" s="7" t="s">
        <v>629</v>
      </c>
    </row>
    <row r="181" spans="1:11" customFormat="1" ht="14">
      <c r="A181" s="1">
        <v>179</v>
      </c>
      <c r="B181" s="2" t="s">
        <v>620</v>
      </c>
      <c r="C181" s="4" t="s">
        <v>14</v>
      </c>
      <c r="D181" s="4" t="s">
        <v>15</v>
      </c>
      <c r="E181" s="5">
        <v>1430000</v>
      </c>
      <c r="F181" s="3">
        <v>3</v>
      </c>
      <c r="G181" s="4">
        <v>2008</v>
      </c>
      <c r="H181" s="6" t="s">
        <v>630</v>
      </c>
      <c r="I181" s="9" t="s">
        <v>631</v>
      </c>
      <c r="J181" s="4" t="s">
        <v>632</v>
      </c>
      <c r="K181" s="7" t="s">
        <v>633</v>
      </c>
    </row>
    <row r="182" spans="1:11" customFormat="1" ht="14">
      <c r="A182" s="1">
        <v>180</v>
      </c>
      <c r="B182" s="2" t="s">
        <v>620</v>
      </c>
      <c r="C182" s="4" t="s">
        <v>14</v>
      </c>
      <c r="D182" s="4" t="s">
        <v>15</v>
      </c>
      <c r="E182" s="5">
        <v>1430000</v>
      </c>
      <c r="F182" s="3">
        <v>4</v>
      </c>
      <c r="G182" s="4">
        <v>2006</v>
      </c>
      <c r="H182" s="6" t="s">
        <v>634</v>
      </c>
      <c r="I182" s="9" t="s">
        <v>635</v>
      </c>
      <c r="J182" s="4" t="s">
        <v>636</v>
      </c>
      <c r="K182" s="7" t="s">
        <v>637</v>
      </c>
    </row>
    <row r="183" spans="1:11" customFormat="1" ht="14">
      <c r="A183" s="1">
        <v>181</v>
      </c>
      <c r="B183" s="2" t="s">
        <v>620</v>
      </c>
      <c r="C183" s="4" t="s">
        <v>14</v>
      </c>
      <c r="D183" s="4" t="s">
        <v>15</v>
      </c>
      <c r="E183" s="5">
        <v>1430000</v>
      </c>
      <c r="F183" s="3">
        <v>4</v>
      </c>
      <c r="G183" s="4">
        <v>2008</v>
      </c>
      <c r="H183" s="6" t="s">
        <v>638</v>
      </c>
      <c r="I183" s="4" t="s">
        <v>639</v>
      </c>
      <c r="J183" s="4" t="s">
        <v>640</v>
      </c>
      <c r="K183" s="7" t="s">
        <v>641</v>
      </c>
    </row>
    <row r="184" spans="1:11" customFormat="1" ht="14">
      <c r="A184" s="1">
        <v>182</v>
      </c>
      <c r="B184" s="2" t="s">
        <v>620</v>
      </c>
      <c r="C184" s="4" t="s">
        <v>14</v>
      </c>
      <c r="D184" s="4" t="s">
        <v>15</v>
      </c>
      <c r="E184" s="5">
        <v>1430000</v>
      </c>
      <c r="F184" s="3">
        <v>3</v>
      </c>
      <c r="G184" s="4">
        <v>2011</v>
      </c>
      <c r="H184" s="6" t="s">
        <v>642</v>
      </c>
      <c r="I184" s="9" t="s">
        <v>643</v>
      </c>
      <c r="J184" s="4" t="s">
        <v>644</v>
      </c>
      <c r="K184" s="7" t="s">
        <v>645</v>
      </c>
    </row>
    <row r="185" spans="1:11" ht="14">
      <c r="A185" s="49">
        <v>183</v>
      </c>
      <c r="B185" s="50" t="s">
        <v>620</v>
      </c>
      <c r="C185" s="40" t="s">
        <v>14</v>
      </c>
      <c r="D185" s="40" t="s">
        <v>15</v>
      </c>
      <c r="E185" s="51">
        <v>1430000</v>
      </c>
      <c r="F185" s="19">
        <v>3</v>
      </c>
      <c r="G185" s="40">
        <v>2006</v>
      </c>
      <c r="H185" s="40" t="s">
        <v>646</v>
      </c>
      <c r="I185" s="40" t="s">
        <v>635</v>
      </c>
      <c r="J185" s="40" t="s">
        <v>647</v>
      </c>
      <c r="K185" s="52" t="s">
        <v>648</v>
      </c>
    </row>
    <row r="186" spans="1:11" customFormat="1" ht="14">
      <c r="A186" s="1">
        <v>184</v>
      </c>
      <c r="B186" s="2" t="s">
        <v>620</v>
      </c>
      <c r="C186" s="4" t="s">
        <v>14</v>
      </c>
      <c r="D186" s="4" t="s">
        <v>15</v>
      </c>
      <c r="E186" s="5">
        <v>1430000</v>
      </c>
      <c r="F186" s="3">
        <v>3</v>
      </c>
      <c r="G186" s="4">
        <v>2010</v>
      </c>
      <c r="H186" s="6" t="s">
        <v>649</v>
      </c>
      <c r="I186" s="4" t="s">
        <v>650</v>
      </c>
      <c r="J186" s="4" t="s">
        <v>651</v>
      </c>
      <c r="K186" s="7" t="s">
        <v>652</v>
      </c>
    </row>
    <row r="187" spans="1:11" customFormat="1" ht="14">
      <c r="A187" s="1">
        <v>185</v>
      </c>
      <c r="B187" s="2" t="s">
        <v>620</v>
      </c>
      <c r="C187" s="4" t="s">
        <v>14</v>
      </c>
      <c r="D187" s="4" t="s">
        <v>15</v>
      </c>
      <c r="E187" s="5">
        <v>1430000</v>
      </c>
      <c r="F187" s="3">
        <v>4</v>
      </c>
      <c r="G187" s="4">
        <v>2006</v>
      </c>
      <c r="H187" s="6" t="s">
        <v>653</v>
      </c>
      <c r="I187" s="4" t="s">
        <v>654</v>
      </c>
      <c r="J187" s="4" t="s">
        <v>655</v>
      </c>
      <c r="K187" s="7" t="s">
        <v>656</v>
      </c>
    </row>
    <row r="188" spans="1:11" customFormat="1" ht="14">
      <c r="A188" s="1">
        <v>186</v>
      </c>
      <c r="B188" s="2" t="s">
        <v>620</v>
      </c>
      <c r="C188" s="4" t="s">
        <v>14</v>
      </c>
      <c r="D188" s="4" t="s">
        <v>15</v>
      </c>
      <c r="E188" s="5">
        <v>1430000</v>
      </c>
      <c r="F188" s="3">
        <v>4</v>
      </c>
      <c r="G188" s="4">
        <v>2009</v>
      </c>
      <c r="H188" s="6" t="s">
        <v>657</v>
      </c>
      <c r="I188" s="9" t="s">
        <v>658</v>
      </c>
      <c r="J188" s="4" t="s">
        <v>659</v>
      </c>
      <c r="K188" s="7" t="s">
        <v>660</v>
      </c>
    </row>
    <row r="189" spans="1:11" ht="14">
      <c r="A189" s="49">
        <v>187</v>
      </c>
      <c r="B189" s="50" t="s">
        <v>620</v>
      </c>
      <c r="C189" s="40" t="s">
        <v>14</v>
      </c>
      <c r="D189" s="40" t="s">
        <v>15</v>
      </c>
      <c r="E189" s="51">
        <v>1430000</v>
      </c>
      <c r="F189" s="19">
        <v>1</v>
      </c>
      <c r="G189" s="40">
        <v>2011</v>
      </c>
      <c r="H189" s="40" t="s">
        <v>661</v>
      </c>
      <c r="I189" s="40" t="s">
        <v>662</v>
      </c>
      <c r="J189" s="40" t="s">
        <v>663</v>
      </c>
      <c r="K189" s="52" t="s">
        <v>664</v>
      </c>
    </row>
    <row r="190" spans="1:11" customFormat="1" ht="14">
      <c r="A190" s="1">
        <v>188</v>
      </c>
      <c r="B190" s="2" t="s">
        <v>620</v>
      </c>
      <c r="C190" s="4" t="s">
        <v>14</v>
      </c>
      <c r="D190" s="4" t="s">
        <v>15</v>
      </c>
      <c r="E190" s="5">
        <v>1430000</v>
      </c>
      <c r="F190" s="3">
        <v>4</v>
      </c>
      <c r="G190" s="4">
        <v>2011</v>
      </c>
      <c r="H190" s="6" t="s">
        <v>665</v>
      </c>
      <c r="I190" s="9" t="s">
        <v>666</v>
      </c>
      <c r="J190" s="4" t="s">
        <v>667</v>
      </c>
      <c r="K190" s="7" t="s">
        <v>668</v>
      </c>
    </row>
    <row r="191" spans="1:11" customFormat="1" ht="14">
      <c r="A191" s="1">
        <v>189</v>
      </c>
      <c r="B191" s="2" t="s">
        <v>620</v>
      </c>
      <c r="C191" s="4" t="s">
        <v>14</v>
      </c>
      <c r="D191" s="4" t="s">
        <v>15</v>
      </c>
      <c r="E191" s="5">
        <v>1430000</v>
      </c>
      <c r="F191" s="3">
        <v>4</v>
      </c>
      <c r="G191" s="4">
        <v>2011</v>
      </c>
      <c r="H191" s="6" t="s">
        <v>669</v>
      </c>
      <c r="I191" s="4" t="s">
        <v>103</v>
      </c>
      <c r="J191" s="4" t="s">
        <v>670</v>
      </c>
      <c r="K191" s="7" t="s">
        <v>671</v>
      </c>
    </row>
    <row r="192" spans="1:11" customFormat="1" ht="14">
      <c r="A192" s="1">
        <v>190</v>
      </c>
      <c r="B192" s="2" t="s">
        <v>620</v>
      </c>
      <c r="C192" s="4" t="s">
        <v>14</v>
      </c>
      <c r="D192" s="4" t="s">
        <v>15</v>
      </c>
      <c r="E192" s="5">
        <v>1430000</v>
      </c>
      <c r="F192" s="3">
        <v>4</v>
      </c>
      <c r="G192" s="4">
        <v>2012</v>
      </c>
      <c r="H192" s="6" t="s">
        <v>672</v>
      </c>
      <c r="I192" s="4" t="s">
        <v>673</v>
      </c>
      <c r="J192" s="4" t="s">
        <v>674</v>
      </c>
      <c r="K192" s="7" t="s">
        <v>675</v>
      </c>
    </row>
    <row r="193" spans="1:12" customFormat="1" ht="14">
      <c r="A193" s="1">
        <v>191</v>
      </c>
      <c r="B193" s="2" t="s">
        <v>620</v>
      </c>
      <c r="C193" s="4" t="s">
        <v>14</v>
      </c>
      <c r="D193" s="4" t="s">
        <v>15</v>
      </c>
      <c r="E193" s="5">
        <v>1430000</v>
      </c>
      <c r="F193" s="3">
        <v>3</v>
      </c>
      <c r="G193" s="4">
        <v>2011</v>
      </c>
      <c r="H193" s="6" t="s">
        <v>676</v>
      </c>
      <c r="I193" s="4" t="s">
        <v>87</v>
      </c>
      <c r="J193" s="4" t="s">
        <v>677</v>
      </c>
      <c r="K193" s="7" t="s">
        <v>678</v>
      </c>
      <c r="L193" s="4" t="s">
        <v>679</v>
      </c>
    </row>
    <row r="194" spans="1:12" customFormat="1" ht="14">
      <c r="A194" s="1">
        <v>192</v>
      </c>
      <c r="B194" s="2" t="s">
        <v>620</v>
      </c>
      <c r="C194" s="4" t="s">
        <v>14</v>
      </c>
      <c r="D194" s="4" t="s">
        <v>15</v>
      </c>
      <c r="E194" s="5">
        <v>1430000</v>
      </c>
      <c r="F194" s="3">
        <v>4</v>
      </c>
      <c r="G194" s="4">
        <v>2009</v>
      </c>
      <c r="H194" s="6" t="s">
        <v>680</v>
      </c>
      <c r="I194" s="9" t="s">
        <v>64</v>
      </c>
      <c r="J194" s="4" t="s">
        <v>681</v>
      </c>
      <c r="K194" s="7" t="s">
        <v>682</v>
      </c>
    </row>
    <row r="195" spans="1:12" customFormat="1" ht="14">
      <c r="A195" s="1">
        <v>193</v>
      </c>
      <c r="B195" s="2" t="s">
        <v>620</v>
      </c>
      <c r="C195" s="4" t="s">
        <v>14</v>
      </c>
      <c r="D195" s="4" t="s">
        <v>15</v>
      </c>
      <c r="E195" s="5">
        <v>1430000</v>
      </c>
      <c r="F195" s="3">
        <v>4</v>
      </c>
      <c r="G195" s="4">
        <v>2011</v>
      </c>
      <c r="H195" s="6" t="s">
        <v>683</v>
      </c>
      <c r="I195" s="4" t="s">
        <v>114</v>
      </c>
      <c r="J195" s="4" t="s">
        <v>670</v>
      </c>
      <c r="K195" s="7" t="s">
        <v>684</v>
      </c>
    </row>
    <row r="196" spans="1:12" customFormat="1" ht="14">
      <c r="A196" s="1">
        <v>194</v>
      </c>
      <c r="B196" s="2" t="s">
        <v>620</v>
      </c>
      <c r="C196" s="4" t="s">
        <v>14</v>
      </c>
      <c r="D196" s="4" t="s">
        <v>15</v>
      </c>
      <c r="E196" s="5">
        <v>1430000</v>
      </c>
      <c r="F196" s="3">
        <v>4</v>
      </c>
      <c r="G196" s="4">
        <v>2007</v>
      </c>
      <c r="H196" s="6" t="s">
        <v>685</v>
      </c>
      <c r="I196" s="4" t="s">
        <v>686</v>
      </c>
      <c r="J196" s="4" t="s">
        <v>687</v>
      </c>
      <c r="K196" s="7" t="s">
        <v>688</v>
      </c>
    </row>
    <row r="197" spans="1:12" customFormat="1" ht="14">
      <c r="A197" s="1">
        <v>195</v>
      </c>
      <c r="B197" s="2" t="s">
        <v>620</v>
      </c>
      <c r="C197" s="4" t="s">
        <v>14</v>
      </c>
      <c r="D197" s="4" t="s">
        <v>15</v>
      </c>
      <c r="E197" s="5">
        <v>1430000</v>
      </c>
      <c r="F197" s="3">
        <v>4</v>
      </c>
      <c r="G197" s="4">
        <v>2006</v>
      </c>
      <c r="H197" s="6" t="s">
        <v>689</v>
      </c>
      <c r="I197" s="4" t="s">
        <v>690</v>
      </c>
      <c r="J197" s="4" t="s">
        <v>691</v>
      </c>
      <c r="K197" s="7" t="s">
        <v>692</v>
      </c>
    </row>
    <row r="198" spans="1:12" customFormat="1" ht="14">
      <c r="A198" s="1">
        <v>196</v>
      </c>
      <c r="B198" s="2" t="s">
        <v>693</v>
      </c>
      <c r="C198" s="4" t="s">
        <v>14</v>
      </c>
      <c r="D198" s="4" t="s">
        <v>15</v>
      </c>
      <c r="E198" s="5">
        <v>1170000</v>
      </c>
      <c r="F198" s="3">
        <v>3</v>
      </c>
      <c r="G198" s="4">
        <v>2010</v>
      </c>
      <c r="H198" s="6" t="s">
        <v>694</v>
      </c>
      <c r="I198" s="9" t="s">
        <v>143</v>
      </c>
      <c r="J198" s="4" t="s">
        <v>695</v>
      </c>
      <c r="K198" s="7" t="s">
        <v>696</v>
      </c>
      <c r="L198" s="5"/>
    </row>
    <row r="199" spans="1:12" ht="14">
      <c r="A199" s="49">
        <v>197</v>
      </c>
      <c r="B199" s="50" t="s">
        <v>693</v>
      </c>
      <c r="C199" s="40" t="s">
        <v>14</v>
      </c>
      <c r="D199" s="40" t="s">
        <v>15</v>
      </c>
      <c r="E199" s="51">
        <v>1170000</v>
      </c>
      <c r="F199" s="19">
        <v>3</v>
      </c>
      <c r="G199" s="40">
        <v>2011</v>
      </c>
      <c r="H199" s="40" t="s">
        <v>697</v>
      </c>
      <c r="I199" s="40" t="s">
        <v>305</v>
      </c>
      <c r="J199" s="40" t="s">
        <v>698</v>
      </c>
      <c r="K199" s="52" t="s">
        <v>699</v>
      </c>
    </row>
    <row r="200" spans="1:12" customFormat="1" ht="14">
      <c r="A200" s="1">
        <v>198</v>
      </c>
      <c r="B200" s="2" t="s">
        <v>693</v>
      </c>
      <c r="C200" s="4" t="s">
        <v>14</v>
      </c>
      <c r="D200" s="4" t="s">
        <v>15</v>
      </c>
      <c r="E200" s="5">
        <v>1170000</v>
      </c>
      <c r="F200" s="3">
        <v>4</v>
      </c>
      <c r="G200" s="4">
        <v>2012</v>
      </c>
      <c r="H200" s="6" t="s">
        <v>700</v>
      </c>
      <c r="I200" s="4" t="s">
        <v>701</v>
      </c>
      <c r="J200" s="4" t="s">
        <v>702</v>
      </c>
      <c r="K200" s="7" t="s">
        <v>703</v>
      </c>
    </row>
    <row r="201" spans="1:12" customFormat="1" ht="14">
      <c r="A201" s="1">
        <v>199</v>
      </c>
      <c r="B201" s="2" t="s">
        <v>693</v>
      </c>
      <c r="C201" s="4" t="s">
        <v>14</v>
      </c>
      <c r="D201" s="4" t="s">
        <v>15</v>
      </c>
      <c r="E201" s="5">
        <v>1170000</v>
      </c>
      <c r="F201" s="3">
        <v>4</v>
      </c>
      <c r="G201" s="4">
        <v>2007</v>
      </c>
      <c r="H201" s="6" t="s">
        <v>704</v>
      </c>
      <c r="I201" s="4" t="s">
        <v>87</v>
      </c>
      <c r="J201" s="4" t="s">
        <v>705</v>
      </c>
      <c r="K201" s="7" t="s">
        <v>706</v>
      </c>
    </row>
    <row r="202" spans="1:12" customFormat="1" ht="14">
      <c r="A202" s="1">
        <v>200</v>
      </c>
      <c r="B202" s="2" t="s">
        <v>693</v>
      </c>
      <c r="C202" s="4" t="s">
        <v>14</v>
      </c>
      <c r="D202" s="4" t="s">
        <v>15</v>
      </c>
      <c r="E202" s="5">
        <v>1170000</v>
      </c>
      <c r="F202" s="3">
        <v>4</v>
      </c>
      <c r="G202" s="4">
        <v>2010</v>
      </c>
      <c r="H202" s="6" t="s">
        <v>707</v>
      </c>
      <c r="I202" s="4" t="s">
        <v>708</v>
      </c>
      <c r="J202" s="4" t="s">
        <v>709</v>
      </c>
      <c r="K202" s="7" t="s">
        <v>710</v>
      </c>
    </row>
    <row r="203" spans="1:12" customFormat="1" ht="14">
      <c r="A203" s="1">
        <v>201</v>
      </c>
      <c r="B203" s="2" t="s">
        <v>693</v>
      </c>
      <c r="C203" s="4" t="s">
        <v>14</v>
      </c>
      <c r="D203" s="4" t="s">
        <v>15</v>
      </c>
      <c r="E203" s="5">
        <v>1170000</v>
      </c>
      <c r="F203" s="3">
        <v>4</v>
      </c>
      <c r="G203" s="4">
        <v>2006</v>
      </c>
      <c r="H203" s="6" t="s">
        <v>711</v>
      </c>
      <c r="I203" s="4" t="s">
        <v>87</v>
      </c>
      <c r="J203" s="4" t="s">
        <v>712</v>
      </c>
      <c r="K203" s="7" t="s">
        <v>713</v>
      </c>
    </row>
    <row r="204" spans="1:12" customFormat="1" ht="14">
      <c r="A204" s="1">
        <v>202</v>
      </c>
      <c r="B204" s="2" t="s">
        <v>693</v>
      </c>
      <c r="C204" s="4" t="s">
        <v>14</v>
      </c>
      <c r="D204" s="4" t="s">
        <v>15</v>
      </c>
      <c r="E204" s="5">
        <v>1170000</v>
      </c>
      <c r="F204" s="3">
        <v>4</v>
      </c>
      <c r="G204" s="4">
        <v>2011</v>
      </c>
      <c r="H204" s="6" t="s">
        <v>714</v>
      </c>
      <c r="I204" s="4" t="s">
        <v>343</v>
      </c>
      <c r="J204" s="4" t="s">
        <v>715</v>
      </c>
      <c r="K204" s="7" t="s">
        <v>716</v>
      </c>
    </row>
    <row r="205" spans="1:12" customFormat="1" ht="14">
      <c r="A205" s="1">
        <v>203</v>
      </c>
      <c r="B205" s="2" t="s">
        <v>693</v>
      </c>
      <c r="C205" s="4" t="s">
        <v>14</v>
      </c>
      <c r="D205" s="4" t="s">
        <v>15</v>
      </c>
      <c r="E205" s="5">
        <v>1170000</v>
      </c>
      <c r="F205" s="3">
        <v>4</v>
      </c>
      <c r="G205" s="4">
        <v>2011</v>
      </c>
      <c r="H205" s="4" t="s">
        <v>717</v>
      </c>
      <c r="I205" s="4" t="s">
        <v>718</v>
      </c>
      <c r="J205" s="4" t="s">
        <v>719</v>
      </c>
      <c r="K205" s="7" t="s">
        <v>720</v>
      </c>
      <c r="L205" s="4" t="s">
        <v>721</v>
      </c>
    </row>
    <row r="206" spans="1:12" customFormat="1" ht="14">
      <c r="A206" s="1">
        <v>204</v>
      </c>
      <c r="B206" s="2" t="s">
        <v>693</v>
      </c>
      <c r="C206" s="4" t="s">
        <v>14</v>
      </c>
      <c r="D206" s="4" t="s">
        <v>15</v>
      </c>
      <c r="E206" s="5">
        <v>1170000</v>
      </c>
      <c r="F206" s="3">
        <v>3</v>
      </c>
      <c r="G206" s="4">
        <v>2006</v>
      </c>
      <c r="H206" s="6" t="s">
        <v>722</v>
      </c>
      <c r="I206" s="4" t="s">
        <v>690</v>
      </c>
      <c r="J206" s="4" t="s">
        <v>723</v>
      </c>
      <c r="K206" s="7" t="s">
        <v>724</v>
      </c>
    </row>
    <row r="207" spans="1:12" customFormat="1" ht="14">
      <c r="A207" s="1">
        <v>205</v>
      </c>
      <c r="B207" s="2" t="s">
        <v>693</v>
      </c>
      <c r="C207" s="4" t="s">
        <v>14</v>
      </c>
      <c r="D207" s="4" t="s">
        <v>15</v>
      </c>
      <c r="E207" s="5">
        <v>1170000</v>
      </c>
      <c r="F207" s="3">
        <v>4</v>
      </c>
      <c r="G207" s="4">
        <v>2010</v>
      </c>
      <c r="H207" s="6" t="s">
        <v>725</v>
      </c>
      <c r="I207" s="4" t="s">
        <v>673</v>
      </c>
      <c r="J207" s="4" t="s">
        <v>726</v>
      </c>
      <c r="K207" s="7" t="s">
        <v>727</v>
      </c>
    </row>
    <row r="208" spans="1:12" customFormat="1" ht="14">
      <c r="A208" s="1">
        <v>206</v>
      </c>
      <c r="B208" s="2" t="s">
        <v>693</v>
      </c>
      <c r="C208" s="4" t="s">
        <v>14</v>
      </c>
      <c r="D208" s="4" t="s">
        <v>15</v>
      </c>
      <c r="E208" s="5">
        <v>1170000</v>
      </c>
      <c r="F208" s="3">
        <v>4</v>
      </c>
      <c r="G208" s="4">
        <v>2010</v>
      </c>
      <c r="H208" s="6" t="s">
        <v>728</v>
      </c>
      <c r="I208" s="4" t="s">
        <v>729</v>
      </c>
      <c r="J208" s="4" t="s">
        <v>730</v>
      </c>
      <c r="K208" s="7" t="s">
        <v>731</v>
      </c>
    </row>
    <row r="209" spans="1:12" customFormat="1" ht="14">
      <c r="A209" s="1">
        <v>207</v>
      </c>
      <c r="B209" s="2" t="s">
        <v>693</v>
      </c>
      <c r="C209" s="4" t="s">
        <v>14</v>
      </c>
      <c r="D209" s="4" t="s">
        <v>15</v>
      </c>
      <c r="E209" s="5">
        <v>1170000</v>
      </c>
      <c r="F209" s="3">
        <v>3</v>
      </c>
      <c r="G209" s="4">
        <v>2010</v>
      </c>
      <c r="H209" s="6" t="s">
        <v>732</v>
      </c>
      <c r="I209" s="4" t="s">
        <v>238</v>
      </c>
      <c r="J209" s="4" t="s">
        <v>733</v>
      </c>
      <c r="K209" s="7" t="s">
        <v>734</v>
      </c>
    </row>
    <row r="210" spans="1:12" ht="14">
      <c r="A210" s="49">
        <v>208</v>
      </c>
      <c r="B210" s="50" t="s">
        <v>693</v>
      </c>
      <c r="C210" s="40" t="s">
        <v>14</v>
      </c>
      <c r="D210" s="40" t="s">
        <v>15</v>
      </c>
      <c r="E210" s="51">
        <v>1170000</v>
      </c>
      <c r="F210" s="19">
        <v>2</v>
      </c>
      <c r="G210" s="40">
        <v>2010</v>
      </c>
      <c r="H210" s="40" t="s">
        <v>735</v>
      </c>
      <c r="I210" s="40" t="s">
        <v>736</v>
      </c>
      <c r="J210" s="54" t="s">
        <v>737</v>
      </c>
      <c r="K210" s="55" t="s">
        <v>738</v>
      </c>
    </row>
    <row r="211" spans="1:12" customFormat="1" ht="14">
      <c r="A211" s="1">
        <v>209</v>
      </c>
      <c r="B211" s="2" t="s">
        <v>693</v>
      </c>
      <c r="C211" s="4" t="s">
        <v>14</v>
      </c>
      <c r="D211" s="4" t="s">
        <v>15</v>
      </c>
      <c r="E211" s="5">
        <v>1170000</v>
      </c>
      <c r="F211" s="3">
        <v>4</v>
      </c>
      <c r="G211" s="4">
        <v>2010</v>
      </c>
      <c r="H211" s="6" t="s">
        <v>739</v>
      </c>
      <c r="I211" s="9" t="s">
        <v>360</v>
      </c>
      <c r="J211" s="4" t="s">
        <v>740</v>
      </c>
      <c r="K211" s="7" t="s">
        <v>741</v>
      </c>
    </row>
    <row r="212" spans="1:12" customFormat="1" ht="14">
      <c r="A212" s="1">
        <v>210</v>
      </c>
      <c r="B212" s="2" t="s">
        <v>693</v>
      </c>
      <c r="C212" s="4" t="s">
        <v>14</v>
      </c>
      <c r="D212" s="4" t="s">
        <v>15</v>
      </c>
      <c r="E212" s="5">
        <v>1170000</v>
      </c>
      <c r="F212" s="3">
        <v>3</v>
      </c>
      <c r="G212" s="4">
        <v>2008</v>
      </c>
      <c r="H212" s="6" t="s">
        <v>742</v>
      </c>
      <c r="I212" s="4" t="s">
        <v>743</v>
      </c>
      <c r="J212" s="4" t="s">
        <v>744</v>
      </c>
      <c r="K212" s="7" t="s">
        <v>745</v>
      </c>
    </row>
    <row r="213" spans="1:12" customFormat="1" ht="14">
      <c r="A213" s="1">
        <v>211</v>
      </c>
      <c r="B213" s="2" t="s">
        <v>693</v>
      </c>
      <c r="C213" s="4" t="s">
        <v>14</v>
      </c>
      <c r="D213" s="4" t="s">
        <v>15</v>
      </c>
      <c r="E213" s="5">
        <v>1170000</v>
      </c>
      <c r="F213" s="3">
        <v>4</v>
      </c>
      <c r="G213" s="4">
        <v>2010</v>
      </c>
      <c r="H213" s="6" t="s">
        <v>746</v>
      </c>
      <c r="I213" s="4" t="s">
        <v>708</v>
      </c>
      <c r="J213" s="4" t="s">
        <v>747</v>
      </c>
      <c r="K213" s="7" t="s">
        <v>748</v>
      </c>
      <c r="L213" s="4" t="s">
        <v>749</v>
      </c>
    </row>
    <row r="214" spans="1:12" customFormat="1" ht="14">
      <c r="A214" s="1">
        <v>212</v>
      </c>
      <c r="B214" s="2" t="s">
        <v>693</v>
      </c>
      <c r="C214" s="4" t="s">
        <v>14</v>
      </c>
      <c r="D214" s="4" t="s">
        <v>15</v>
      </c>
      <c r="E214" s="5">
        <v>1170000</v>
      </c>
      <c r="F214" s="3">
        <v>3</v>
      </c>
      <c r="G214" s="4">
        <v>2008</v>
      </c>
      <c r="H214" s="6" t="s">
        <v>750</v>
      </c>
      <c r="I214" s="4" t="s">
        <v>673</v>
      </c>
      <c r="J214" s="4" t="s">
        <v>751</v>
      </c>
      <c r="K214" s="7" t="s">
        <v>752</v>
      </c>
    </row>
    <row r="215" spans="1:12" customFormat="1" ht="14">
      <c r="A215" s="1">
        <v>213</v>
      </c>
      <c r="B215" s="2" t="s">
        <v>693</v>
      </c>
      <c r="C215" s="4" t="s">
        <v>14</v>
      </c>
      <c r="D215" s="4" t="s">
        <v>15</v>
      </c>
      <c r="E215" s="5">
        <v>1170000</v>
      </c>
      <c r="F215" s="3">
        <v>4</v>
      </c>
      <c r="G215" s="4">
        <v>2008</v>
      </c>
      <c r="H215" s="6" t="s">
        <v>753</v>
      </c>
      <c r="I215" s="4" t="s">
        <v>343</v>
      </c>
      <c r="J215" s="4" t="s">
        <v>754</v>
      </c>
      <c r="K215" s="7" t="s">
        <v>755</v>
      </c>
    </row>
    <row r="216" spans="1:12" ht="14">
      <c r="A216" s="49">
        <v>214</v>
      </c>
      <c r="B216" s="50" t="s">
        <v>693</v>
      </c>
      <c r="C216" s="40" t="s">
        <v>14</v>
      </c>
      <c r="D216" s="40" t="s">
        <v>15</v>
      </c>
      <c r="E216" s="51">
        <v>1170000</v>
      </c>
      <c r="F216" s="19">
        <v>3</v>
      </c>
      <c r="G216" s="40">
        <v>2006</v>
      </c>
      <c r="H216" s="40" t="s">
        <v>756</v>
      </c>
      <c r="I216" s="40" t="s">
        <v>757</v>
      </c>
      <c r="J216" s="40" t="s">
        <v>758</v>
      </c>
      <c r="K216" s="52" t="s">
        <v>759</v>
      </c>
    </row>
    <row r="217" spans="1:12" ht="14">
      <c r="A217" s="49">
        <v>215</v>
      </c>
      <c r="B217" s="50" t="s">
        <v>693</v>
      </c>
      <c r="C217" s="40" t="s">
        <v>14</v>
      </c>
      <c r="D217" s="40" t="s">
        <v>15</v>
      </c>
      <c r="E217" s="51">
        <v>1170000</v>
      </c>
      <c r="F217" s="19">
        <v>1</v>
      </c>
      <c r="G217" s="40">
        <v>2009</v>
      </c>
      <c r="H217" s="40" t="s">
        <v>760</v>
      </c>
      <c r="I217" s="40" t="s">
        <v>761</v>
      </c>
      <c r="J217" s="40" t="s">
        <v>762</v>
      </c>
      <c r="K217" s="52" t="s">
        <v>763</v>
      </c>
    </row>
    <row r="218" spans="1:12" customFormat="1" ht="14">
      <c r="A218" s="1">
        <v>216</v>
      </c>
      <c r="B218" s="2" t="s">
        <v>693</v>
      </c>
      <c r="C218" s="4" t="s">
        <v>14</v>
      </c>
      <c r="D218" s="4" t="s">
        <v>15</v>
      </c>
      <c r="E218" s="5">
        <v>1170000</v>
      </c>
      <c r="F218" s="3">
        <v>3</v>
      </c>
      <c r="G218" s="4">
        <v>2010</v>
      </c>
      <c r="H218" s="6" t="s">
        <v>764</v>
      </c>
      <c r="I218" s="4" t="s">
        <v>238</v>
      </c>
      <c r="J218" s="4" t="s">
        <v>765</v>
      </c>
      <c r="K218" s="7" t="s">
        <v>766</v>
      </c>
    </row>
    <row r="219" spans="1:12" ht="14">
      <c r="A219" s="49">
        <v>217</v>
      </c>
      <c r="B219" s="50" t="s">
        <v>693</v>
      </c>
      <c r="C219" s="40" t="s">
        <v>14</v>
      </c>
      <c r="D219" s="40" t="s">
        <v>15</v>
      </c>
      <c r="E219" s="51">
        <v>1170000</v>
      </c>
      <c r="F219" s="19">
        <v>1</v>
      </c>
      <c r="G219" s="40">
        <v>2013</v>
      </c>
      <c r="H219" s="40" t="s">
        <v>767</v>
      </c>
      <c r="I219" s="22" t="s">
        <v>134</v>
      </c>
      <c r="J219" s="40" t="s">
        <v>768</v>
      </c>
      <c r="K219" s="52" t="s">
        <v>769</v>
      </c>
    </row>
    <row r="220" spans="1:12" customFormat="1" ht="14">
      <c r="A220" s="1">
        <v>218</v>
      </c>
      <c r="B220" s="2" t="s">
        <v>693</v>
      </c>
      <c r="C220" s="4" t="s">
        <v>14</v>
      </c>
      <c r="D220" s="4" t="s">
        <v>15</v>
      </c>
      <c r="E220" s="5">
        <v>1170000</v>
      </c>
      <c r="F220" s="3">
        <v>3</v>
      </c>
      <c r="G220" s="4">
        <v>2009</v>
      </c>
      <c r="H220" s="6" t="s">
        <v>770</v>
      </c>
      <c r="I220" s="4" t="s">
        <v>771</v>
      </c>
      <c r="J220" s="4" t="s">
        <v>772</v>
      </c>
      <c r="K220" s="7" t="s">
        <v>773</v>
      </c>
    </row>
    <row r="221" spans="1:12" customFormat="1" ht="14">
      <c r="A221" s="1">
        <v>219</v>
      </c>
      <c r="B221" s="2" t="s">
        <v>693</v>
      </c>
      <c r="C221" s="4" t="s">
        <v>14</v>
      </c>
      <c r="D221" s="4" t="s">
        <v>15</v>
      </c>
      <c r="E221" s="5">
        <v>1170000</v>
      </c>
      <c r="F221" s="3">
        <v>3</v>
      </c>
      <c r="G221" s="4">
        <v>2010</v>
      </c>
      <c r="H221" s="4" t="s">
        <v>774</v>
      </c>
      <c r="I221" s="4" t="s">
        <v>775</v>
      </c>
      <c r="J221" s="4" t="s">
        <v>733</v>
      </c>
      <c r="K221" s="7" t="s">
        <v>776</v>
      </c>
    </row>
    <row r="222" spans="1:12" ht="14">
      <c r="A222" s="49">
        <v>220</v>
      </c>
      <c r="B222" s="50" t="s">
        <v>693</v>
      </c>
      <c r="C222" s="40" t="s">
        <v>14</v>
      </c>
      <c r="D222" s="40" t="s">
        <v>15</v>
      </c>
      <c r="E222" s="51">
        <v>1170000</v>
      </c>
      <c r="F222" s="19">
        <v>1</v>
      </c>
      <c r="G222" s="40">
        <v>2006</v>
      </c>
      <c r="H222" s="40" t="s">
        <v>777</v>
      </c>
      <c r="I222" s="40" t="s">
        <v>87</v>
      </c>
      <c r="J222" s="40" t="s">
        <v>778</v>
      </c>
      <c r="K222" s="52" t="s">
        <v>779</v>
      </c>
    </row>
    <row r="223" spans="1:12" ht="14">
      <c r="A223" s="49">
        <v>221</v>
      </c>
      <c r="B223" s="50" t="s">
        <v>693</v>
      </c>
      <c r="C223" s="40" t="s">
        <v>14</v>
      </c>
      <c r="D223" s="40" t="s">
        <v>15</v>
      </c>
      <c r="E223" s="51">
        <v>1170000</v>
      </c>
      <c r="F223" s="19">
        <v>2</v>
      </c>
      <c r="G223" s="40">
        <v>2009</v>
      </c>
      <c r="H223" s="40" t="s">
        <v>780</v>
      </c>
      <c r="I223" s="22" t="s">
        <v>37</v>
      </c>
      <c r="J223" s="40" t="s">
        <v>91</v>
      </c>
      <c r="K223" s="52" t="s">
        <v>781</v>
      </c>
    </row>
    <row r="224" spans="1:12" customFormat="1" ht="14">
      <c r="A224" s="1">
        <v>222</v>
      </c>
      <c r="B224" s="2" t="s">
        <v>693</v>
      </c>
      <c r="C224" s="4" t="s">
        <v>14</v>
      </c>
      <c r="D224" s="4" t="s">
        <v>15</v>
      </c>
      <c r="E224" s="5">
        <v>1170000</v>
      </c>
      <c r="F224" s="3">
        <v>3</v>
      </c>
      <c r="G224" s="4">
        <v>2009</v>
      </c>
      <c r="H224" s="6" t="s">
        <v>782</v>
      </c>
      <c r="I224" s="6" t="s">
        <v>783</v>
      </c>
      <c r="J224" s="4" t="s">
        <v>784</v>
      </c>
      <c r="K224" s="7" t="s">
        <v>785</v>
      </c>
    </row>
    <row r="225" spans="1:12" customFormat="1" ht="14">
      <c r="A225" s="1">
        <v>223</v>
      </c>
      <c r="B225" s="2" t="s">
        <v>786</v>
      </c>
      <c r="C225" s="4" t="s">
        <v>14</v>
      </c>
      <c r="D225" s="4" t="s">
        <v>15</v>
      </c>
      <c r="E225" s="5">
        <v>1580000</v>
      </c>
      <c r="F225" s="3">
        <v>3</v>
      </c>
      <c r="G225" s="4">
        <v>2011</v>
      </c>
      <c r="H225" s="6" t="s">
        <v>787</v>
      </c>
      <c r="I225" s="9" t="s">
        <v>37</v>
      </c>
      <c r="J225" s="4" t="s">
        <v>788</v>
      </c>
      <c r="K225" s="7" t="s">
        <v>789</v>
      </c>
      <c r="L225" s="5"/>
    </row>
    <row r="226" spans="1:12" ht="14">
      <c r="A226" s="49">
        <v>224</v>
      </c>
      <c r="B226" s="50" t="s">
        <v>786</v>
      </c>
      <c r="C226" s="40" t="s">
        <v>14</v>
      </c>
      <c r="D226" s="40" t="s">
        <v>15</v>
      </c>
      <c r="E226" s="51">
        <v>1580000</v>
      </c>
      <c r="F226" s="19">
        <v>1</v>
      </c>
      <c r="G226" s="40">
        <v>2007</v>
      </c>
      <c r="H226" s="40" t="s">
        <v>790</v>
      </c>
      <c r="I226" s="40" t="s">
        <v>60</v>
      </c>
      <c r="J226" s="40" t="s">
        <v>791</v>
      </c>
      <c r="K226" s="52" t="s">
        <v>792</v>
      </c>
    </row>
    <row r="227" spans="1:12" customFormat="1" ht="14">
      <c r="A227" s="1">
        <v>225</v>
      </c>
      <c r="B227" s="2" t="s">
        <v>786</v>
      </c>
      <c r="C227" s="4" t="s">
        <v>14</v>
      </c>
      <c r="D227" s="4" t="s">
        <v>15</v>
      </c>
      <c r="E227" s="5">
        <v>1580000</v>
      </c>
      <c r="F227" s="3">
        <v>3</v>
      </c>
      <c r="G227" s="4">
        <v>2007</v>
      </c>
      <c r="H227" s="6" t="s">
        <v>793</v>
      </c>
      <c r="I227" s="4" t="s">
        <v>690</v>
      </c>
      <c r="J227" s="4" t="s">
        <v>794</v>
      </c>
      <c r="K227" s="7" t="s">
        <v>795</v>
      </c>
    </row>
    <row r="228" spans="1:12" customFormat="1" ht="14">
      <c r="A228" s="1">
        <v>226</v>
      </c>
      <c r="B228" s="2" t="s">
        <v>786</v>
      </c>
      <c r="C228" s="4" t="s">
        <v>14</v>
      </c>
      <c r="D228" s="4" t="s">
        <v>15</v>
      </c>
      <c r="E228" s="5">
        <v>1580000</v>
      </c>
      <c r="F228" s="3">
        <v>3</v>
      </c>
      <c r="G228" s="4">
        <v>2009</v>
      </c>
      <c r="H228" s="6" t="s">
        <v>796</v>
      </c>
      <c r="I228" s="4" t="s">
        <v>60</v>
      </c>
      <c r="J228" s="4" t="s">
        <v>797</v>
      </c>
      <c r="K228" s="7" t="s">
        <v>798</v>
      </c>
    </row>
    <row r="229" spans="1:12" customFormat="1" ht="14">
      <c r="A229" s="1">
        <v>227</v>
      </c>
      <c r="B229" s="2" t="s">
        <v>786</v>
      </c>
      <c r="C229" s="4" t="s">
        <v>14</v>
      </c>
      <c r="D229" s="4" t="s">
        <v>15</v>
      </c>
      <c r="E229" s="5">
        <v>1580000</v>
      </c>
      <c r="F229" s="3">
        <v>3</v>
      </c>
      <c r="G229" s="4">
        <v>2009</v>
      </c>
      <c r="H229" s="6" t="s">
        <v>799</v>
      </c>
      <c r="I229" s="4" t="s">
        <v>167</v>
      </c>
      <c r="J229" s="4" t="s">
        <v>797</v>
      </c>
      <c r="K229" s="7" t="s">
        <v>800</v>
      </c>
    </row>
    <row r="230" spans="1:12" customFormat="1" ht="14">
      <c r="A230" s="1">
        <v>228</v>
      </c>
      <c r="B230" s="2" t="s">
        <v>786</v>
      </c>
      <c r="C230" s="4" t="s">
        <v>14</v>
      </c>
      <c r="D230" s="4" t="s">
        <v>15</v>
      </c>
      <c r="E230" s="5">
        <v>1580000</v>
      </c>
      <c r="F230" s="3">
        <v>4</v>
      </c>
      <c r="G230" s="4">
        <v>2007</v>
      </c>
      <c r="H230" s="6" t="s">
        <v>801</v>
      </c>
      <c r="I230" s="4" t="s">
        <v>343</v>
      </c>
      <c r="J230" s="4" t="s">
        <v>802</v>
      </c>
      <c r="K230" s="7" t="s">
        <v>803</v>
      </c>
    </row>
    <row r="231" spans="1:12" customFormat="1" ht="14">
      <c r="A231" s="1">
        <v>229</v>
      </c>
      <c r="B231" s="2" t="s">
        <v>786</v>
      </c>
      <c r="C231" s="4" t="s">
        <v>14</v>
      </c>
      <c r="D231" s="4" t="s">
        <v>15</v>
      </c>
      <c r="E231" s="5">
        <v>1580000</v>
      </c>
      <c r="F231" s="3">
        <v>3</v>
      </c>
      <c r="G231" s="4">
        <v>2009</v>
      </c>
      <c r="H231" s="6" t="s">
        <v>804</v>
      </c>
      <c r="I231" s="9" t="s">
        <v>805</v>
      </c>
      <c r="J231" s="4" t="s">
        <v>806</v>
      </c>
      <c r="K231" s="7" t="s">
        <v>807</v>
      </c>
    </row>
    <row r="232" spans="1:12" ht="14">
      <c r="A232" s="49">
        <v>230</v>
      </c>
      <c r="B232" s="50" t="s">
        <v>786</v>
      </c>
      <c r="C232" s="40" t="s">
        <v>14</v>
      </c>
      <c r="D232" s="40" t="s">
        <v>15</v>
      </c>
      <c r="E232" s="51">
        <v>1580000</v>
      </c>
      <c r="F232" s="19">
        <v>1</v>
      </c>
      <c r="G232" s="40">
        <v>2010</v>
      </c>
      <c r="H232" s="40" t="s">
        <v>808</v>
      </c>
      <c r="I232" s="22" t="s">
        <v>37</v>
      </c>
      <c r="J232" s="40" t="s">
        <v>452</v>
      </c>
      <c r="K232" s="52" t="s">
        <v>809</v>
      </c>
    </row>
    <row r="233" spans="1:12" ht="14">
      <c r="A233" s="49">
        <v>231</v>
      </c>
      <c r="B233" s="50" t="s">
        <v>786</v>
      </c>
      <c r="C233" s="40" t="s">
        <v>14</v>
      </c>
      <c r="D233" s="40" t="s">
        <v>15</v>
      </c>
      <c r="E233" s="51">
        <v>1580000</v>
      </c>
      <c r="F233" s="19">
        <v>1</v>
      </c>
      <c r="G233" s="40">
        <v>2012</v>
      </c>
      <c r="H233" s="40" t="s">
        <v>810</v>
      </c>
      <c r="I233" s="40" t="s">
        <v>103</v>
      </c>
      <c r="J233" s="40" t="s">
        <v>811</v>
      </c>
      <c r="K233" s="52" t="s">
        <v>812</v>
      </c>
    </row>
    <row r="234" spans="1:12" ht="14">
      <c r="A234" s="49">
        <v>232</v>
      </c>
      <c r="B234" s="50" t="s">
        <v>786</v>
      </c>
      <c r="C234" s="40" t="s">
        <v>14</v>
      </c>
      <c r="D234" s="40" t="s">
        <v>15</v>
      </c>
      <c r="E234" s="51">
        <v>1580000</v>
      </c>
      <c r="F234" s="19">
        <v>1</v>
      </c>
      <c r="G234" s="40">
        <v>2009</v>
      </c>
      <c r="H234" s="40" t="s">
        <v>813</v>
      </c>
      <c r="I234" s="40" t="s">
        <v>814</v>
      </c>
      <c r="J234" s="40" t="s">
        <v>815</v>
      </c>
      <c r="K234" s="52" t="s">
        <v>816</v>
      </c>
    </row>
    <row r="235" spans="1:12" ht="14">
      <c r="A235" s="49">
        <v>233</v>
      </c>
      <c r="B235" s="50" t="s">
        <v>786</v>
      </c>
      <c r="C235" s="40" t="s">
        <v>14</v>
      </c>
      <c r="D235" s="40" t="s">
        <v>15</v>
      </c>
      <c r="E235" s="51">
        <v>1580000</v>
      </c>
      <c r="F235" s="19">
        <v>3</v>
      </c>
      <c r="G235" s="40">
        <v>2012</v>
      </c>
      <c r="H235" s="40" t="s">
        <v>817</v>
      </c>
      <c r="I235" s="40" t="s">
        <v>60</v>
      </c>
      <c r="J235" s="40" t="s">
        <v>818</v>
      </c>
      <c r="K235" s="52" t="s">
        <v>819</v>
      </c>
    </row>
    <row r="236" spans="1:12" ht="14">
      <c r="A236" s="49">
        <v>234</v>
      </c>
      <c r="B236" s="50" t="s">
        <v>786</v>
      </c>
      <c r="C236" s="40" t="s">
        <v>14</v>
      </c>
      <c r="D236" s="40" t="s">
        <v>15</v>
      </c>
      <c r="E236" s="51">
        <v>1580000</v>
      </c>
      <c r="F236" s="19">
        <v>3</v>
      </c>
      <c r="G236" s="40">
        <v>2012</v>
      </c>
      <c r="H236" s="40" t="s">
        <v>820</v>
      </c>
      <c r="I236" s="40" t="s">
        <v>60</v>
      </c>
      <c r="J236" s="40" t="s">
        <v>821</v>
      </c>
      <c r="K236" s="52" t="s">
        <v>822</v>
      </c>
    </row>
    <row r="237" spans="1:12" customFormat="1" ht="14">
      <c r="A237" s="1">
        <v>235</v>
      </c>
      <c r="B237" s="2" t="s">
        <v>786</v>
      </c>
      <c r="C237" s="4" t="s">
        <v>14</v>
      </c>
      <c r="D237" s="4" t="s">
        <v>15</v>
      </c>
      <c r="E237" s="5">
        <v>1580000</v>
      </c>
      <c r="F237" s="3">
        <v>3</v>
      </c>
      <c r="G237" s="4">
        <v>2012</v>
      </c>
      <c r="H237" s="6" t="s">
        <v>823</v>
      </c>
      <c r="I237" s="4" t="s">
        <v>60</v>
      </c>
      <c r="J237" s="4" t="s">
        <v>824</v>
      </c>
      <c r="K237" s="7" t="s">
        <v>825</v>
      </c>
    </row>
    <row r="238" spans="1:12" customFormat="1" ht="14">
      <c r="A238" s="1">
        <v>236</v>
      </c>
      <c r="B238" s="2" t="s">
        <v>786</v>
      </c>
      <c r="C238" s="4" t="s">
        <v>14</v>
      </c>
      <c r="D238" s="4" t="s">
        <v>15</v>
      </c>
      <c r="E238" s="5">
        <v>1580000</v>
      </c>
      <c r="F238" s="3">
        <v>2</v>
      </c>
      <c r="G238" s="4">
        <v>2007</v>
      </c>
      <c r="H238" s="6" t="s">
        <v>826</v>
      </c>
      <c r="I238" s="4" t="s">
        <v>561</v>
      </c>
      <c r="J238" s="4" t="s">
        <v>827</v>
      </c>
      <c r="K238" s="7" t="s">
        <v>828</v>
      </c>
    </row>
    <row r="239" spans="1:12" customFormat="1" ht="14">
      <c r="A239" s="1">
        <v>237</v>
      </c>
      <c r="B239" s="2" t="s">
        <v>786</v>
      </c>
      <c r="C239" s="4" t="s">
        <v>14</v>
      </c>
      <c r="D239" s="4" t="s">
        <v>15</v>
      </c>
      <c r="E239" s="5">
        <v>1580000</v>
      </c>
      <c r="F239" s="3">
        <v>4</v>
      </c>
      <c r="G239" s="4">
        <v>2011</v>
      </c>
      <c r="H239" s="6" t="s">
        <v>829</v>
      </c>
      <c r="I239" s="4" t="s">
        <v>76</v>
      </c>
      <c r="J239" s="4" t="s">
        <v>830</v>
      </c>
      <c r="K239" s="7" t="s">
        <v>831</v>
      </c>
    </row>
    <row r="240" spans="1:12" customFormat="1" ht="14">
      <c r="A240" s="1">
        <v>238</v>
      </c>
      <c r="B240" s="2" t="s">
        <v>786</v>
      </c>
      <c r="C240" s="4" t="s">
        <v>14</v>
      </c>
      <c r="D240" s="4" t="s">
        <v>15</v>
      </c>
      <c r="E240" s="5">
        <v>1580000</v>
      </c>
      <c r="F240" s="3">
        <v>4</v>
      </c>
      <c r="G240" s="4">
        <v>2007</v>
      </c>
      <c r="H240" s="10" t="s">
        <v>832</v>
      </c>
      <c r="I240" s="4" t="s">
        <v>343</v>
      </c>
      <c r="J240" s="4" t="s">
        <v>833</v>
      </c>
      <c r="K240" s="7" t="s">
        <v>834</v>
      </c>
    </row>
    <row r="241" spans="1:12" ht="14">
      <c r="A241" s="49">
        <v>239</v>
      </c>
      <c r="B241" s="50" t="s">
        <v>786</v>
      </c>
      <c r="C241" s="40" t="s">
        <v>14</v>
      </c>
      <c r="D241" s="40" t="s">
        <v>15</v>
      </c>
      <c r="E241" s="51">
        <v>1580000</v>
      </c>
      <c r="F241" s="19">
        <v>3</v>
      </c>
      <c r="G241" s="40">
        <v>2011</v>
      </c>
      <c r="H241" s="40" t="s">
        <v>835</v>
      </c>
      <c r="I241" s="22" t="s">
        <v>90</v>
      </c>
      <c r="J241" s="40" t="s">
        <v>836</v>
      </c>
      <c r="K241" s="52" t="s">
        <v>837</v>
      </c>
    </row>
    <row r="242" spans="1:12" ht="14">
      <c r="A242" s="49">
        <v>240</v>
      </c>
      <c r="B242" s="50" t="s">
        <v>786</v>
      </c>
      <c r="C242" s="40" t="s">
        <v>14</v>
      </c>
      <c r="D242" s="40" t="s">
        <v>15</v>
      </c>
      <c r="E242" s="51">
        <v>1580000</v>
      </c>
      <c r="F242" s="19">
        <v>3</v>
      </c>
      <c r="G242" s="40">
        <v>2014</v>
      </c>
      <c r="H242" s="40" t="s">
        <v>838</v>
      </c>
      <c r="I242" s="40" t="s">
        <v>839</v>
      </c>
      <c r="J242" s="22" t="s">
        <v>840</v>
      </c>
      <c r="K242" s="52" t="s">
        <v>841</v>
      </c>
    </row>
    <row r="243" spans="1:12" ht="28">
      <c r="A243" s="49">
        <v>241</v>
      </c>
      <c r="B243" s="50" t="s">
        <v>842</v>
      </c>
      <c r="C243" s="40" t="s">
        <v>14</v>
      </c>
      <c r="D243" s="40" t="s">
        <v>15</v>
      </c>
      <c r="E243" s="51">
        <v>1500</v>
      </c>
      <c r="F243" s="19">
        <v>1</v>
      </c>
      <c r="G243" s="40">
        <v>2009</v>
      </c>
      <c r="H243" s="40" t="s">
        <v>843</v>
      </c>
      <c r="I243" s="40" t="s">
        <v>60</v>
      </c>
      <c r="J243" s="40" t="s">
        <v>844</v>
      </c>
      <c r="K243" s="52" t="s">
        <v>845</v>
      </c>
      <c r="L243" s="51"/>
    </row>
    <row r="244" spans="1:12" ht="28">
      <c r="A244" s="49">
        <v>242</v>
      </c>
      <c r="B244" s="50" t="s">
        <v>842</v>
      </c>
      <c r="C244" s="40" t="s">
        <v>14</v>
      </c>
      <c r="D244" s="40" t="s">
        <v>15</v>
      </c>
      <c r="E244" s="51">
        <v>1500</v>
      </c>
      <c r="F244" s="19">
        <v>2</v>
      </c>
      <c r="G244" s="40">
        <v>2009</v>
      </c>
      <c r="H244" s="40" t="s">
        <v>846</v>
      </c>
      <c r="I244" s="40" t="s">
        <v>847</v>
      </c>
      <c r="J244" s="40" t="s">
        <v>261</v>
      </c>
      <c r="K244" s="52" t="s">
        <v>848</v>
      </c>
    </row>
    <row r="245" spans="1:12" customFormat="1" ht="28">
      <c r="A245" s="1">
        <v>243</v>
      </c>
      <c r="B245" s="2" t="s">
        <v>842</v>
      </c>
      <c r="C245" s="4" t="s">
        <v>14</v>
      </c>
      <c r="D245" s="4" t="s">
        <v>15</v>
      </c>
      <c r="E245" s="5">
        <v>1500</v>
      </c>
      <c r="F245" s="3">
        <v>3</v>
      </c>
      <c r="G245" s="4">
        <v>2010</v>
      </c>
      <c r="H245" s="6" t="s">
        <v>849</v>
      </c>
      <c r="I245" s="9" t="s">
        <v>37</v>
      </c>
      <c r="J245" s="4" t="s">
        <v>850</v>
      </c>
      <c r="K245" s="7" t="s">
        <v>851</v>
      </c>
    </row>
    <row r="246" spans="1:12" ht="28">
      <c r="A246" s="49">
        <v>244</v>
      </c>
      <c r="B246" s="50" t="s">
        <v>842</v>
      </c>
      <c r="C246" s="40" t="s">
        <v>14</v>
      </c>
      <c r="D246" s="40" t="s">
        <v>15</v>
      </c>
      <c r="E246" s="51">
        <v>1500</v>
      </c>
      <c r="F246" s="19">
        <v>2</v>
      </c>
      <c r="G246" s="40">
        <v>2009</v>
      </c>
      <c r="H246" s="40" t="s">
        <v>852</v>
      </c>
      <c r="I246" s="40" t="s">
        <v>167</v>
      </c>
      <c r="J246" s="40" t="s">
        <v>853</v>
      </c>
      <c r="K246" s="52" t="s">
        <v>854</v>
      </c>
    </row>
    <row r="247" spans="1:12" ht="28">
      <c r="A247" s="49">
        <v>245</v>
      </c>
      <c r="B247" s="50" t="s">
        <v>842</v>
      </c>
      <c r="C247" s="40" t="s">
        <v>14</v>
      </c>
      <c r="D247" s="40" t="s">
        <v>15</v>
      </c>
      <c r="E247" s="51">
        <v>1500</v>
      </c>
      <c r="F247" s="19">
        <v>3</v>
      </c>
      <c r="G247" s="40">
        <v>2011</v>
      </c>
      <c r="H247" s="40" t="s">
        <v>855</v>
      </c>
      <c r="I247" s="40" t="s">
        <v>238</v>
      </c>
      <c r="J247" s="40" t="s">
        <v>856</v>
      </c>
      <c r="K247" s="52" t="s">
        <v>857</v>
      </c>
    </row>
    <row r="248" spans="1:12" ht="28">
      <c r="A248" s="49">
        <v>246</v>
      </c>
      <c r="B248" s="50" t="s">
        <v>842</v>
      </c>
      <c r="C248" s="40" t="s">
        <v>14</v>
      </c>
      <c r="D248" s="40" t="s">
        <v>15</v>
      </c>
      <c r="E248" s="51">
        <v>1500</v>
      </c>
      <c r="F248" s="19">
        <v>1</v>
      </c>
      <c r="G248" s="40">
        <v>2006</v>
      </c>
      <c r="H248" s="40" t="s">
        <v>858</v>
      </c>
      <c r="I248" s="40" t="s">
        <v>29</v>
      </c>
      <c r="J248" s="40" t="s">
        <v>859</v>
      </c>
      <c r="K248" s="52" t="s">
        <v>860</v>
      </c>
    </row>
    <row r="249" spans="1:12" customFormat="1" ht="28">
      <c r="A249" s="1">
        <v>247</v>
      </c>
      <c r="B249" s="2" t="s">
        <v>842</v>
      </c>
      <c r="C249" s="4" t="s">
        <v>14</v>
      </c>
      <c r="D249" s="4" t="s">
        <v>15</v>
      </c>
      <c r="E249" s="5">
        <v>1500</v>
      </c>
      <c r="F249" s="3">
        <v>4</v>
      </c>
      <c r="G249" s="4">
        <v>2009</v>
      </c>
      <c r="H249" s="6" t="s">
        <v>861</v>
      </c>
      <c r="I249" s="4" t="s">
        <v>60</v>
      </c>
      <c r="J249" s="4" t="s">
        <v>862</v>
      </c>
      <c r="K249" s="7" t="s">
        <v>863</v>
      </c>
    </row>
    <row r="250" spans="1:12" ht="28">
      <c r="A250" s="49">
        <v>248</v>
      </c>
      <c r="B250" s="50" t="s">
        <v>842</v>
      </c>
      <c r="C250" s="40" t="s">
        <v>14</v>
      </c>
      <c r="D250" s="40" t="s">
        <v>15</v>
      </c>
      <c r="E250" s="51">
        <v>1500</v>
      </c>
      <c r="F250" s="19">
        <v>3</v>
      </c>
      <c r="G250" s="40">
        <v>2008</v>
      </c>
      <c r="H250" s="40" t="s">
        <v>864</v>
      </c>
      <c r="I250" s="40" t="s">
        <v>230</v>
      </c>
      <c r="J250" s="40" t="s">
        <v>865</v>
      </c>
      <c r="K250" s="52" t="s">
        <v>866</v>
      </c>
    </row>
    <row r="251" spans="1:12" customFormat="1" ht="28">
      <c r="A251" s="1">
        <v>249</v>
      </c>
      <c r="B251" s="2" t="s">
        <v>842</v>
      </c>
      <c r="C251" s="4" t="s">
        <v>14</v>
      </c>
      <c r="D251" s="4" t="s">
        <v>15</v>
      </c>
      <c r="E251" s="5">
        <v>1500</v>
      </c>
      <c r="F251" s="3">
        <v>3</v>
      </c>
      <c r="G251" s="4">
        <v>2009</v>
      </c>
      <c r="H251" s="4" t="s">
        <v>867</v>
      </c>
      <c r="I251" s="4" t="s">
        <v>114</v>
      </c>
      <c r="J251" s="4" t="s">
        <v>868</v>
      </c>
      <c r="K251" s="7" t="s">
        <v>869</v>
      </c>
    </row>
    <row r="252" spans="1:12" ht="28">
      <c r="A252" s="49">
        <v>250</v>
      </c>
      <c r="B252" s="50" t="s">
        <v>842</v>
      </c>
      <c r="C252" s="40" t="s">
        <v>14</v>
      </c>
      <c r="D252" s="40" t="s">
        <v>15</v>
      </c>
      <c r="E252" s="51">
        <v>1500</v>
      </c>
      <c r="F252" s="19">
        <v>2</v>
      </c>
      <c r="G252" s="40">
        <v>2011</v>
      </c>
      <c r="H252" s="40" t="s">
        <v>870</v>
      </c>
      <c r="I252" s="40" t="s">
        <v>134</v>
      </c>
      <c r="J252" s="40" t="s">
        <v>61</v>
      </c>
      <c r="K252" s="52" t="s">
        <v>871</v>
      </c>
    </row>
    <row r="253" spans="1:12" ht="28">
      <c r="A253" s="49">
        <v>251</v>
      </c>
      <c r="B253" s="50" t="s">
        <v>842</v>
      </c>
      <c r="C253" s="40" t="s">
        <v>14</v>
      </c>
      <c r="D253" s="40" t="s">
        <v>15</v>
      </c>
      <c r="E253" s="51">
        <v>1500</v>
      </c>
      <c r="F253" s="19">
        <v>2</v>
      </c>
      <c r="G253" s="40">
        <v>2006</v>
      </c>
      <c r="H253" s="40" t="s">
        <v>872</v>
      </c>
      <c r="I253" s="40" t="s">
        <v>690</v>
      </c>
      <c r="J253" s="40" t="s">
        <v>873</v>
      </c>
      <c r="K253" s="52" t="s">
        <v>874</v>
      </c>
    </row>
    <row r="254" spans="1:12" ht="28">
      <c r="A254" s="49">
        <v>252</v>
      </c>
      <c r="B254" s="50" t="s">
        <v>842</v>
      </c>
      <c r="C254" s="40" t="s">
        <v>14</v>
      </c>
      <c r="D254" s="40" t="s">
        <v>15</v>
      </c>
      <c r="E254" s="51">
        <v>1500</v>
      </c>
      <c r="F254" s="19">
        <v>2</v>
      </c>
      <c r="G254" s="40">
        <v>2009</v>
      </c>
      <c r="H254" s="40" t="s">
        <v>875</v>
      </c>
      <c r="I254" s="40" t="s">
        <v>876</v>
      </c>
      <c r="J254" s="40" t="s">
        <v>61</v>
      </c>
      <c r="K254" s="52" t="s">
        <v>877</v>
      </c>
    </row>
    <row r="255" spans="1:12" customFormat="1" ht="28">
      <c r="A255" s="1">
        <v>253</v>
      </c>
      <c r="B255" s="2" t="s">
        <v>842</v>
      </c>
      <c r="C255" s="4" t="s">
        <v>14</v>
      </c>
      <c r="D255" s="4" t="s">
        <v>15</v>
      </c>
      <c r="E255" s="5">
        <v>1500</v>
      </c>
      <c r="F255" s="3">
        <v>3</v>
      </c>
      <c r="G255" s="4">
        <v>2010</v>
      </c>
      <c r="H255" s="4" t="s">
        <v>878</v>
      </c>
      <c r="I255" s="4" t="s">
        <v>879</v>
      </c>
      <c r="J255" s="4" t="s">
        <v>880</v>
      </c>
      <c r="K255" s="7" t="s">
        <v>881</v>
      </c>
    </row>
    <row r="256" spans="1:12" customFormat="1" ht="28">
      <c r="A256" s="1">
        <v>254</v>
      </c>
      <c r="B256" s="2" t="s">
        <v>842</v>
      </c>
      <c r="C256" s="4" t="s">
        <v>14</v>
      </c>
      <c r="D256" s="4" t="s">
        <v>15</v>
      </c>
      <c r="E256" s="5">
        <v>1500</v>
      </c>
      <c r="F256" s="3">
        <v>3</v>
      </c>
      <c r="G256" s="4">
        <v>2011</v>
      </c>
      <c r="H256" s="6" t="s">
        <v>882</v>
      </c>
      <c r="I256" s="4" t="s">
        <v>90</v>
      </c>
      <c r="J256" s="4" t="s">
        <v>883</v>
      </c>
      <c r="K256" s="7" t="s">
        <v>884</v>
      </c>
    </row>
    <row r="257" spans="1:12" ht="28">
      <c r="A257" s="49">
        <v>255</v>
      </c>
      <c r="B257" s="50" t="s">
        <v>842</v>
      </c>
      <c r="C257" s="40" t="s">
        <v>14</v>
      </c>
      <c r="D257" s="40" t="s">
        <v>15</v>
      </c>
      <c r="E257" s="51">
        <v>1500</v>
      </c>
      <c r="F257" s="19">
        <v>1</v>
      </c>
      <c r="G257" s="40">
        <v>2010</v>
      </c>
      <c r="H257" s="40" t="s">
        <v>885</v>
      </c>
      <c r="I257" s="40" t="s">
        <v>21</v>
      </c>
      <c r="J257" s="40" t="s">
        <v>886</v>
      </c>
      <c r="K257" s="52" t="s">
        <v>887</v>
      </c>
    </row>
    <row r="258" spans="1:12" customFormat="1" ht="28">
      <c r="A258" s="1">
        <v>256</v>
      </c>
      <c r="B258" s="2" t="s">
        <v>842</v>
      </c>
      <c r="C258" s="4" t="s">
        <v>14</v>
      </c>
      <c r="D258" s="4" t="s">
        <v>15</v>
      </c>
      <c r="E258" s="5">
        <v>1500</v>
      </c>
      <c r="F258" s="3">
        <v>3</v>
      </c>
      <c r="G258" s="4">
        <v>2012</v>
      </c>
      <c r="H258" s="4" t="s">
        <v>888</v>
      </c>
      <c r="I258" s="4" t="s">
        <v>889</v>
      </c>
      <c r="J258" s="4" t="s">
        <v>890</v>
      </c>
      <c r="K258" s="7" t="s">
        <v>891</v>
      </c>
    </row>
    <row r="259" spans="1:12" ht="28">
      <c r="A259" s="49">
        <v>257</v>
      </c>
      <c r="B259" s="50" t="s">
        <v>842</v>
      </c>
      <c r="C259" s="40" t="s">
        <v>14</v>
      </c>
      <c r="D259" s="40" t="s">
        <v>15</v>
      </c>
      <c r="E259" s="51">
        <v>1500</v>
      </c>
      <c r="F259" s="19">
        <v>1</v>
      </c>
      <c r="G259" s="40">
        <v>2013</v>
      </c>
      <c r="H259" s="40" t="s">
        <v>892</v>
      </c>
      <c r="I259" s="40" t="s">
        <v>90</v>
      </c>
      <c r="J259" s="40" t="s">
        <v>893</v>
      </c>
      <c r="K259" s="52" t="s">
        <v>894</v>
      </c>
    </row>
    <row r="260" spans="1:12" ht="28">
      <c r="A260" s="49">
        <v>258</v>
      </c>
      <c r="B260" s="50" t="s">
        <v>842</v>
      </c>
      <c r="C260" s="40" t="s">
        <v>14</v>
      </c>
      <c r="D260" s="40" t="s">
        <v>15</v>
      </c>
      <c r="E260" s="51">
        <v>1500</v>
      </c>
      <c r="F260" s="19">
        <v>1</v>
      </c>
      <c r="G260" s="40">
        <v>2010</v>
      </c>
      <c r="H260" s="40" t="s">
        <v>895</v>
      </c>
      <c r="I260" s="40" t="s">
        <v>896</v>
      </c>
      <c r="J260" s="40" t="s">
        <v>115</v>
      </c>
      <c r="K260" s="52" t="s">
        <v>897</v>
      </c>
    </row>
    <row r="261" spans="1:12" ht="28">
      <c r="A261" s="49">
        <v>259</v>
      </c>
      <c r="B261" s="50" t="s">
        <v>842</v>
      </c>
      <c r="C261" s="40" t="s">
        <v>14</v>
      </c>
      <c r="D261" s="40" t="s">
        <v>15</v>
      </c>
      <c r="E261" s="51">
        <v>1500</v>
      </c>
      <c r="F261" s="19">
        <v>3</v>
      </c>
      <c r="G261" s="40">
        <v>2007</v>
      </c>
      <c r="H261" s="40" t="s">
        <v>898</v>
      </c>
      <c r="I261" s="22" t="s">
        <v>37</v>
      </c>
      <c r="J261" s="40" t="s">
        <v>899</v>
      </c>
      <c r="K261" s="52" t="s">
        <v>900</v>
      </c>
    </row>
    <row r="262" spans="1:12" customFormat="1" ht="28">
      <c r="A262" s="1">
        <v>260</v>
      </c>
      <c r="B262" s="2" t="s">
        <v>842</v>
      </c>
      <c r="C262" s="4" t="s">
        <v>14</v>
      </c>
      <c r="D262" s="4" t="s">
        <v>15</v>
      </c>
      <c r="E262" s="5">
        <v>1500</v>
      </c>
      <c r="F262" s="3">
        <v>3</v>
      </c>
      <c r="G262" s="4">
        <v>2008</v>
      </c>
      <c r="H262" s="6" t="s">
        <v>901</v>
      </c>
      <c r="I262" s="4" t="s">
        <v>76</v>
      </c>
      <c r="J262" s="4" t="s">
        <v>547</v>
      </c>
      <c r="K262" s="7" t="s">
        <v>902</v>
      </c>
    </row>
    <row r="263" spans="1:12" customFormat="1" ht="28">
      <c r="A263" s="1">
        <v>261</v>
      </c>
      <c r="B263" s="2" t="s">
        <v>842</v>
      </c>
      <c r="C263" s="4" t="s">
        <v>14</v>
      </c>
      <c r="D263" s="4" t="s">
        <v>15</v>
      </c>
      <c r="E263" s="5">
        <v>1500</v>
      </c>
      <c r="F263" s="3">
        <v>3</v>
      </c>
      <c r="G263" s="4">
        <v>2006</v>
      </c>
      <c r="H263" s="6" t="s">
        <v>903</v>
      </c>
      <c r="I263" s="4" t="s">
        <v>29</v>
      </c>
      <c r="J263" s="4" t="s">
        <v>517</v>
      </c>
      <c r="K263" s="7" t="s">
        <v>904</v>
      </c>
    </row>
    <row r="264" spans="1:12" customFormat="1" ht="28">
      <c r="A264" s="1">
        <v>262</v>
      </c>
      <c r="B264" s="2" t="s">
        <v>842</v>
      </c>
      <c r="C264" s="4" t="s">
        <v>14</v>
      </c>
      <c r="D264" s="4" t="s">
        <v>15</v>
      </c>
      <c r="E264" s="5">
        <v>1500</v>
      </c>
      <c r="F264" s="3">
        <v>3</v>
      </c>
      <c r="G264" s="4">
        <v>2011</v>
      </c>
      <c r="H264" s="6" t="s">
        <v>905</v>
      </c>
      <c r="I264" s="4" t="s">
        <v>906</v>
      </c>
      <c r="J264" s="4" t="s">
        <v>907</v>
      </c>
      <c r="K264" s="7" t="s">
        <v>908</v>
      </c>
    </row>
    <row r="265" spans="1:12" customFormat="1" ht="28">
      <c r="A265" s="1">
        <v>263</v>
      </c>
      <c r="B265" s="2" t="s">
        <v>842</v>
      </c>
      <c r="C265" s="4" t="s">
        <v>14</v>
      </c>
      <c r="D265" s="4" t="s">
        <v>15</v>
      </c>
      <c r="E265" s="5">
        <v>1500</v>
      </c>
      <c r="F265" s="3">
        <v>3</v>
      </c>
      <c r="G265" s="4">
        <v>2007</v>
      </c>
      <c r="H265" s="6" t="s">
        <v>909</v>
      </c>
      <c r="I265" s="4" t="s">
        <v>910</v>
      </c>
      <c r="J265" s="4" t="s">
        <v>911</v>
      </c>
      <c r="K265" s="7" t="s">
        <v>912</v>
      </c>
    </row>
    <row r="266" spans="1:12" ht="28">
      <c r="A266" s="49">
        <v>264</v>
      </c>
      <c r="B266" s="50" t="s">
        <v>842</v>
      </c>
      <c r="C266" s="40" t="s">
        <v>14</v>
      </c>
      <c r="D266" s="40" t="s">
        <v>15</v>
      </c>
      <c r="E266" s="51">
        <v>1500</v>
      </c>
      <c r="F266" s="19">
        <v>1</v>
      </c>
      <c r="G266" s="40">
        <v>2006</v>
      </c>
      <c r="H266" s="40" t="s">
        <v>913</v>
      </c>
      <c r="I266" s="40" t="s">
        <v>690</v>
      </c>
      <c r="J266" s="40" t="s">
        <v>914</v>
      </c>
      <c r="K266" s="52" t="s">
        <v>915</v>
      </c>
    </row>
    <row r="267" spans="1:12" customFormat="1" ht="28">
      <c r="A267" s="1">
        <v>265</v>
      </c>
      <c r="B267" s="2" t="s">
        <v>842</v>
      </c>
      <c r="C267" s="4" t="s">
        <v>14</v>
      </c>
      <c r="D267" s="4" t="s">
        <v>15</v>
      </c>
      <c r="E267" s="5">
        <v>1500</v>
      </c>
      <c r="F267" s="3">
        <v>3</v>
      </c>
      <c r="G267" s="4">
        <v>2010</v>
      </c>
      <c r="H267" s="6" t="s">
        <v>916</v>
      </c>
      <c r="I267" s="4" t="s">
        <v>37</v>
      </c>
      <c r="J267" s="4" t="s">
        <v>917</v>
      </c>
      <c r="K267" s="7" t="s">
        <v>918</v>
      </c>
    </row>
    <row r="268" spans="1:12" customFormat="1" ht="28">
      <c r="A268" s="1">
        <v>266</v>
      </c>
      <c r="B268" s="2" t="s">
        <v>842</v>
      </c>
      <c r="C268" s="4" t="s">
        <v>14</v>
      </c>
      <c r="D268" s="4" t="s">
        <v>15</v>
      </c>
      <c r="E268" s="5">
        <v>1500</v>
      </c>
      <c r="F268" s="3">
        <v>3</v>
      </c>
      <c r="G268" s="4">
        <v>2011</v>
      </c>
      <c r="H268" s="6" t="s">
        <v>919</v>
      </c>
      <c r="I268" s="4" t="s">
        <v>920</v>
      </c>
      <c r="J268" s="4" t="s">
        <v>921</v>
      </c>
      <c r="K268" s="7" t="s">
        <v>922</v>
      </c>
    </row>
    <row r="269" spans="1:12" ht="28">
      <c r="A269" s="49">
        <v>267</v>
      </c>
      <c r="B269" s="50" t="s">
        <v>842</v>
      </c>
      <c r="C269" s="40" t="s">
        <v>14</v>
      </c>
      <c r="D269" s="40" t="s">
        <v>15</v>
      </c>
      <c r="E269" s="51">
        <v>1500</v>
      </c>
      <c r="F269" s="19">
        <v>1</v>
      </c>
      <c r="G269" s="40">
        <v>2010</v>
      </c>
      <c r="H269" s="40" t="s">
        <v>923</v>
      </c>
      <c r="I269" s="22" t="s">
        <v>37</v>
      </c>
      <c r="J269" s="40" t="s">
        <v>924</v>
      </c>
      <c r="K269" s="52" t="s">
        <v>925</v>
      </c>
    </row>
    <row r="270" spans="1:12" ht="14">
      <c r="A270" s="49">
        <v>268</v>
      </c>
      <c r="B270" s="50" t="s">
        <v>926</v>
      </c>
      <c r="C270" s="40" t="s">
        <v>14</v>
      </c>
      <c r="D270" s="40" t="s">
        <v>15</v>
      </c>
      <c r="E270" s="51">
        <v>2390</v>
      </c>
      <c r="F270" s="19">
        <v>2</v>
      </c>
      <c r="G270" s="40">
        <v>2007</v>
      </c>
      <c r="H270" s="40" t="s">
        <v>927</v>
      </c>
      <c r="I270" s="40" t="s">
        <v>87</v>
      </c>
      <c r="J270" s="40" t="s">
        <v>873</v>
      </c>
      <c r="K270" s="52" t="s">
        <v>928</v>
      </c>
      <c r="L270" s="51"/>
    </row>
    <row r="271" spans="1:12" ht="14">
      <c r="A271" s="49">
        <v>269</v>
      </c>
      <c r="B271" s="50" t="s">
        <v>926</v>
      </c>
      <c r="C271" s="40" t="s">
        <v>14</v>
      </c>
      <c r="D271" s="40" t="s">
        <v>15</v>
      </c>
      <c r="E271" s="51">
        <v>2390</v>
      </c>
      <c r="F271" s="19">
        <v>2</v>
      </c>
      <c r="G271" s="40">
        <v>2012</v>
      </c>
      <c r="H271" s="40" t="s">
        <v>929</v>
      </c>
      <c r="I271" s="40" t="s">
        <v>103</v>
      </c>
      <c r="J271" s="40" t="s">
        <v>930</v>
      </c>
      <c r="K271" s="52" t="s">
        <v>931</v>
      </c>
    </row>
    <row r="272" spans="1:12" customFormat="1" ht="14">
      <c r="A272" s="1">
        <v>270</v>
      </c>
      <c r="B272" s="2" t="s">
        <v>926</v>
      </c>
      <c r="C272" s="4" t="s">
        <v>14</v>
      </c>
      <c r="D272" s="4" t="s">
        <v>15</v>
      </c>
      <c r="E272" s="5">
        <v>2390</v>
      </c>
      <c r="F272" s="3">
        <v>3</v>
      </c>
      <c r="G272" s="4">
        <v>2010</v>
      </c>
      <c r="H272" s="6" t="s">
        <v>932</v>
      </c>
      <c r="I272" s="4" t="s">
        <v>37</v>
      </c>
      <c r="J272" s="4" t="s">
        <v>933</v>
      </c>
      <c r="K272" s="7" t="s">
        <v>934</v>
      </c>
    </row>
    <row r="273" spans="1:11" ht="14">
      <c r="A273" s="49">
        <v>271</v>
      </c>
      <c r="B273" s="50" t="s">
        <v>926</v>
      </c>
      <c r="C273" s="40" t="s">
        <v>14</v>
      </c>
      <c r="D273" s="40" t="s">
        <v>15</v>
      </c>
      <c r="E273" s="51">
        <v>2390</v>
      </c>
      <c r="F273" s="19">
        <v>2</v>
      </c>
      <c r="G273" s="40">
        <v>2011</v>
      </c>
      <c r="H273" s="40" t="s">
        <v>935</v>
      </c>
      <c r="I273" s="40" t="s">
        <v>936</v>
      </c>
      <c r="J273" s="40" t="s">
        <v>937</v>
      </c>
      <c r="K273" s="52" t="s">
        <v>938</v>
      </c>
    </row>
    <row r="274" spans="1:11" customFormat="1" ht="14">
      <c r="A274" s="1">
        <v>272</v>
      </c>
      <c r="B274" s="2" t="s">
        <v>926</v>
      </c>
      <c r="C274" s="4" t="s">
        <v>14</v>
      </c>
      <c r="D274" s="4" t="s">
        <v>15</v>
      </c>
      <c r="E274" s="5">
        <v>2390</v>
      </c>
      <c r="F274" s="3">
        <v>3</v>
      </c>
      <c r="G274" s="4">
        <v>2013</v>
      </c>
      <c r="H274" s="6" t="s">
        <v>939</v>
      </c>
      <c r="I274" s="4" t="s">
        <v>940</v>
      </c>
      <c r="J274" s="4" t="s">
        <v>941</v>
      </c>
      <c r="K274" s="7" t="s">
        <v>942</v>
      </c>
    </row>
    <row r="275" spans="1:11" customFormat="1" ht="14">
      <c r="A275" s="1">
        <v>273</v>
      </c>
      <c r="B275" s="2" t="s">
        <v>926</v>
      </c>
      <c r="C275" s="4" t="s">
        <v>14</v>
      </c>
      <c r="D275" s="4" t="s">
        <v>15</v>
      </c>
      <c r="E275" s="5">
        <v>2390</v>
      </c>
      <c r="F275" s="3">
        <v>3</v>
      </c>
      <c r="G275" s="4">
        <v>2009</v>
      </c>
      <c r="H275" s="6" t="s">
        <v>943</v>
      </c>
      <c r="I275" s="4" t="s">
        <v>167</v>
      </c>
      <c r="J275" s="4" t="s">
        <v>944</v>
      </c>
      <c r="K275" s="7" t="s">
        <v>945</v>
      </c>
    </row>
    <row r="276" spans="1:11" ht="14">
      <c r="A276" s="49">
        <v>274</v>
      </c>
      <c r="B276" s="50" t="s">
        <v>926</v>
      </c>
      <c r="C276" s="40" t="s">
        <v>14</v>
      </c>
      <c r="D276" s="40" t="s">
        <v>15</v>
      </c>
      <c r="E276" s="51">
        <v>2390</v>
      </c>
      <c r="F276" s="19">
        <v>1</v>
      </c>
      <c r="G276" s="40">
        <v>2007</v>
      </c>
      <c r="H276" s="40" t="s">
        <v>946</v>
      </c>
      <c r="I276" s="40" t="s">
        <v>771</v>
      </c>
      <c r="J276" s="40" t="s">
        <v>947</v>
      </c>
      <c r="K276" s="52" t="s">
        <v>948</v>
      </c>
    </row>
    <row r="277" spans="1:11" customFormat="1" ht="14">
      <c r="A277" s="1">
        <v>275</v>
      </c>
      <c r="B277" s="2" t="s">
        <v>926</v>
      </c>
      <c r="C277" s="4" t="s">
        <v>14</v>
      </c>
      <c r="D277" s="4" t="s">
        <v>15</v>
      </c>
      <c r="E277" s="5">
        <v>2390</v>
      </c>
      <c r="F277" s="3">
        <v>3</v>
      </c>
      <c r="G277" s="4">
        <v>2008</v>
      </c>
      <c r="H277" s="6" t="s">
        <v>949</v>
      </c>
      <c r="I277" s="4" t="s">
        <v>134</v>
      </c>
      <c r="J277" s="4" t="s">
        <v>950</v>
      </c>
      <c r="K277" s="7" t="s">
        <v>951</v>
      </c>
    </row>
    <row r="278" spans="1:11" customFormat="1" ht="14">
      <c r="A278" s="1">
        <v>276</v>
      </c>
      <c r="B278" s="2" t="s">
        <v>926</v>
      </c>
      <c r="C278" s="4" t="s">
        <v>14</v>
      </c>
      <c r="D278" s="4" t="s">
        <v>15</v>
      </c>
      <c r="E278" s="5">
        <v>2390</v>
      </c>
      <c r="F278" s="3">
        <v>3</v>
      </c>
      <c r="G278" s="4">
        <v>2012</v>
      </c>
      <c r="H278" s="10" t="s">
        <v>952</v>
      </c>
      <c r="I278" s="4" t="s">
        <v>953</v>
      </c>
      <c r="J278" s="4" t="s">
        <v>954</v>
      </c>
      <c r="K278" s="7" t="s">
        <v>955</v>
      </c>
    </row>
    <row r="279" spans="1:11" customFormat="1" ht="14">
      <c r="A279" s="1">
        <v>277</v>
      </c>
      <c r="B279" s="2" t="s">
        <v>926</v>
      </c>
      <c r="C279" s="4" t="s">
        <v>14</v>
      </c>
      <c r="D279" s="4" t="s">
        <v>15</v>
      </c>
      <c r="E279" s="5">
        <v>2390</v>
      </c>
      <c r="F279" s="3">
        <v>4</v>
      </c>
      <c r="G279" s="4">
        <v>2006</v>
      </c>
      <c r="H279" s="6" t="s">
        <v>956</v>
      </c>
      <c r="I279" s="4" t="s">
        <v>25</v>
      </c>
      <c r="J279" s="4" t="s">
        <v>957</v>
      </c>
      <c r="K279" s="7" t="s">
        <v>958</v>
      </c>
    </row>
    <row r="280" spans="1:11" ht="14">
      <c r="A280" s="49">
        <v>278</v>
      </c>
      <c r="B280" s="50" t="s">
        <v>926</v>
      </c>
      <c r="C280" s="40" t="s">
        <v>14</v>
      </c>
      <c r="D280" s="40" t="s">
        <v>15</v>
      </c>
      <c r="E280" s="51">
        <v>2390</v>
      </c>
      <c r="F280" s="19">
        <v>1</v>
      </c>
      <c r="G280" s="40">
        <v>2010</v>
      </c>
      <c r="H280" s="40" t="s">
        <v>959</v>
      </c>
      <c r="I280" s="40" t="s">
        <v>960</v>
      </c>
      <c r="J280" s="40" t="s">
        <v>961</v>
      </c>
      <c r="K280" s="52" t="s">
        <v>962</v>
      </c>
    </row>
    <row r="281" spans="1:11" customFormat="1" ht="14">
      <c r="A281" s="1">
        <v>279</v>
      </c>
      <c r="B281" s="2" t="s">
        <v>926</v>
      </c>
      <c r="C281" s="4" t="s">
        <v>14</v>
      </c>
      <c r="D281" s="4" t="s">
        <v>15</v>
      </c>
      <c r="E281" s="5">
        <v>2390</v>
      </c>
      <c r="F281" s="3">
        <v>3</v>
      </c>
      <c r="G281" s="4">
        <v>2009</v>
      </c>
      <c r="H281" s="6" t="s">
        <v>963</v>
      </c>
      <c r="I281" s="4" t="s">
        <v>771</v>
      </c>
      <c r="J281" s="4" t="s">
        <v>791</v>
      </c>
      <c r="K281" s="7" t="s">
        <v>964</v>
      </c>
    </row>
    <row r="282" spans="1:11" customFormat="1" ht="14">
      <c r="A282" s="1">
        <v>280</v>
      </c>
      <c r="B282" s="2" t="s">
        <v>926</v>
      </c>
      <c r="C282" s="4" t="s">
        <v>14</v>
      </c>
      <c r="D282" s="4" t="s">
        <v>15</v>
      </c>
      <c r="E282" s="5">
        <v>2390</v>
      </c>
      <c r="F282" s="3">
        <v>3</v>
      </c>
      <c r="G282" s="4">
        <v>2010</v>
      </c>
      <c r="H282" s="6" t="s">
        <v>965</v>
      </c>
      <c r="I282" s="4" t="s">
        <v>966</v>
      </c>
      <c r="J282" s="4" t="s">
        <v>351</v>
      </c>
      <c r="K282" s="7" t="s">
        <v>967</v>
      </c>
    </row>
    <row r="283" spans="1:11" customFormat="1" ht="14">
      <c r="A283" s="1">
        <v>281</v>
      </c>
      <c r="B283" s="2" t="s">
        <v>926</v>
      </c>
      <c r="C283" s="4" t="s">
        <v>14</v>
      </c>
      <c r="D283" s="4" t="s">
        <v>15</v>
      </c>
      <c r="E283" s="5">
        <v>2390</v>
      </c>
      <c r="F283" s="3">
        <v>3</v>
      </c>
      <c r="G283" s="4">
        <v>2009</v>
      </c>
      <c r="H283" s="6" t="s">
        <v>968</v>
      </c>
      <c r="I283" s="4" t="s">
        <v>167</v>
      </c>
      <c r="J283" s="4" t="s">
        <v>969</v>
      </c>
      <c r="K283" s="7" t="s">
        <v>970</v>
      </c>
    </row>
    <row r="284" spans="1:11" ht="14">
      <c r="A284" s="49">
        <v>282</v>
      </c>
      <c r="B284" s="50" t="s">
        <v>926</v>
      </c>
      <c r="C284" s="40" t="s">
        <v>14</v>
      </c>
      <c r="D284" s="40" t="s">
        <v>15</v>
      </c>
      <c r="E284" s="51">
        <v>2390</v>
      </c>
      <c r="F284" s="19">
        <v>1</v>
      </c>
      <c r="G284" s="40">
        <v>2009</v>
      </c>
      <c r="H284" s="40" t="s">
        <v>971</v>
      </c>
      <c r="I284" s="40" t="s">
        <v>972</v>
      </c>
      <c r="J284" s="40" t="s">
        <v>973</v>
      </c>
      <c r="K284" s="52" t="s">
        <v>974</v>
      </c>
    </row>
    <row r="285" spans="1:11" ht="14">
      <c r="A285" s="49">
        <v>283</v>
      </c>
      <c r="B285" s="50" t="s">
        <v>926</v>
      </c>
      <c r="C285" s="40" t="s">
        <v>14</v>
      </c>
      <c r="D285" s="40" t="s">
        <v>15</v>
      </c>
      <c r="E285" s="51">
        <v>2390</v>
      </c>
      <c r="F285" s="19">
        <v>2</v>
      </c>
      <c r="G285" s="40">
        <v>2012</v>
      </c>
      <c r="H285" s="40" t="s">
        <v>975</v>
      </c>
      <c r="I285" s="40" t="s">
        <v>847</v>
      </c>
      <c r="J285" s="40" t="s">
        <v>261</v>
      </c>
      <c r="K285" s="52" t="s">
        <v>976</v>
      </c>
    </row>
    <row r="286" spans="1:11" customFormat="1" ht="14">
      <c r="A286" s="1">
        <v>284</v>
      </c>
      <c r="B286" s="2" t="s">
        <v>926</v>
      </c>
      <c r="C286" s="4" t="s">
        <v>14</v>
      </c>
      <c r="D286" s="4" t="s">
        <v>15</v>
      </c>
      <c r="E286" s="5">
        <v>2390</v>
      </c>
      <c r="F286" s="3">
        <v>4</v>
      </c>
      <c r="G286" s="4">
        <v>2006</v>
      </c>
      <c r="H286" s="6" t="s">
        <v>977</v>
      </c>
      <c r="I286" s="4" t="s">
        <v>978</v>
      </c>
      <c r="J286" s="4" t="s">
        <v>979</v>
      </c>
      <c r="K286" s="7" t="s">
        <v>980</v>
      </c>
    </row>
    <row r="287" spans="1:11" ht="14">
      <c r="A287" s="49">
        <v>285</v>
      </c>
      <c r="B287" s="50" t="s">
        <v>926</v>
      </c>
      <c r="C287" s="40" t="s">
        <v>14</v>
      </c>
      <c r="D287" s="40" t="s">
        <v>15</v>
      </c>
      <c r="E287" s="51">
        <v>2390</v>
      </c>
      <c r="F287" s="19">
        <v>1</v>
      </c>
      <c r="G287" s="40">
        <v>2008</v>
      </c>
      <c r="H287" s="40" t="s">
        <v>981</v>
      </c>
      <c r="I287" s="22" t="s">
        <v>209</v>
      </c>
      <c r="J287" s="40" t="s">
        <v>982</v>
      </c>
      <c r="K287" s="52" t="s">
        <v>983</v>
      </c>
    </row>
    <row r="288" spans="1:11" customFormat="1" ht="14">
      <c r="A288" s="1">
        <v>286</v>
      </c>
      <c r="B288" s="2" t="s">
        <v>926</v>
      </c>
      <c r="C288" s="4" t="s">
        <v>14</v>
      </c>
      <c r="D288" s="4" t="s">
        <v>15</v>
      </c>
      <c r="E288" s="5">
        <v>2390</v>
      </c>
      <c r="F288" s="3">
        <v>1</v>
      </c>
      <c r="G288" s="4">
        <v>2008</v>
      </c>
      <c r="H288" s="6" t="s">
        <v>984</v>
      </c>
      <c r="I288" s="4" t="s">
        <v>220</v>
      </c>
      <c r="J288" s="4" t="s">
        <v>985</v>
      </c>
      <c r="K288" s="7" t="s">
        <v>986</v>
      </c>
    </row>
    <row r="289" spans="1:12" ht="14">
      <c r="A289" s="49">
        <v>287</v>
      </c>
      <c r="B289" s="50" t="s">
        <v>926</v>
      </c>
      <c r="C289" s="40" t="s">
        <v>14</v>
      </c>
      <c r="D289" s="40" t="s">
        <v>15</v>
      </c>
      <c r="E289" s="51">
        <v>2390</v>
      </c>
      <c r="F289" s="19">
        <v>2</v>
      </c>
      <c r="G289" s="40">
        <v>2014</v>
      </c>
      <c r="H289" s="40" t="s">
        <v>987</v>
      </c>
      <c r="I289" s="22" t="s">
        <v>25</v>
      </c>
      <c r="J289" s="40" t="s">
        <v>988</v>
      </c>
      <c r="K289" s="52" t="s">
        <v>989</v>
      </c>
    </row>
    <row r="290" spans="1:12" customFormat="1" ht="14">
      <c r="A290" s="1">
        <v>288</v>
      </c>
      <c r="B290" s="2" t="s">
        <v>926</v>
      </c>
      <c r="C290" s="4" t="s">
        <v>14</v>
      </c>
      <c r="D290" s="4" t="s">
        <v>15</v>
      </c>
      <c r="E290" s="5">
        <v>2390</v>
      </c>
      <c r="F290" s="3">
        <v>3</v>
      </c>
      <c r="G290" s="4">
        <v>2007</v>
      </c>
      <c r="H290" s="6" t="s">
        <v>990</v>
      </c>
      <c r="I290" s="4" t="s">
        <v>991</v>
      </c>
      <c r="J290" s="4" t="s">
        <v>992</v>
      </c>
      <c r="K290" s="7" t="s">
        <v>993</v>
      </c>
    </row>
    <row r="291" spans="1:12" ht="14">
      <c r="A291" s="49">
        <v>289</v>
      </c>
      <c r="B291" s="50" t="s">
        <v>926</v>
      </c>
      <c r="C291" s="40" t="s">
        <v>14</v>
      </c>
      <c r="D291" s="40" t="s">
        <v>15</v>
      </c>
      <c r="E291" s="51">
        <v>2390</v>
      </c>
      <c r="F291" s="19">
        <v>1</v>
      </c>
      <c r="G291" s="40">
        <v>2012</v>
      </c>
      <c r="H291" s="40" t="s">
        <v>994</v>
      </c>
      <c r="I291" s="40" t="s">
        <v>995</v>
      </c>
      <c r="J291" s="40" t="s">
        <v>996</v>
      </c>
      <c r="K291" s="52" t="s">
        <v>997</v>
      </c>
    </row>
    <row r="292" spans="1:12" ht="14">
      <c r="A292" s="49">
        <v>290</v>
      </c>
      <c r="B292" s="50" t="s">
        <v>926</v>
      </c>
      <c r="C292" s="40" t="s">
        <v>14</v>
      </c>
      <c r="D292" s="40" t="s">
        <v>15</v>
      </c>
      <c r="E292" s="51">
        <v>2390</v>
      </c>
      <c r="F292" s="19">
        <v>2</v>
      </c>
      <c r="G292" s="40">
        <v>2011</v>
      </c>
      <c r="H292" s="40" t="s">
        <v>998</v>
      </c>
      <c r="I292" s="22" t="s">
        <v>37</v>
      </c>
      <c r="J292" s="40" t="s">
        <v>999</v>
      </c>
      <c r="K292" s="52" t="s">
        <v>1000</v>
      </c>
    </row>
    <row r="293" spans="1:12" customFormat="1" ht="14">
      <c r="A293" s="1">
        <v>291</v>
      </c>
      <c r="B293" s="2" t="s">
        <v>926</v>
      </c>
      <c r="C293" s="4" t="s">
        <v>14</v>
      </c>
      <c r="D293" s="4" t="s">
        <v>15</v>
      </c>
      <c r="E293" s="5">
        <v>2390</v>
      </c>
      <c r="F293" s="3">
        <v>3</v>
      </c>
      <c r="G293" s="4">
        <v>2012</v>
      </c>
      <c r="H293" s="6" t="s">
        <v>1001</v>
      </c>
      <c r="I293" s="4" t="s">
        <v>1002</v>
      </c>
      <c r="J293" s="4" t="s">
        <v>1003</v>
      </c>
      <c r="K293" s="7" t="s">
        <v>1004</v>
      </c>
    </row>
    <row r="294" spans="1:12" customFormat="1" ht="14">
      <c r="A294" s="1">
        <v>292</v>
      </c>
      <c r="B294" s="2" t="s">
        <v>926</v>
      </c>
      <c r="C294" s="4" t="s">
        <v>14</v>
      </c>
      <c r="D294" s="4" t="s">
        <v>15</v>
      </c>
      <c r="E294" s="5">
        <v>2390</v>
      </c>
      <c r="F294" s="3">
        <v>3</v>
      </c>
      <c r="G294" s="4">
        <v>2013</v>
      </c>
      <c r="H294" s="6" t="s">
        <v>1005</v>
      </c>
      <c r="I294" s="4" t="s">
        <v>60</v>
      </c>
      <c r="J294" s="4" t="s">
        <v>1006</v>
      </c>
      <c r="K294" s="7" t="s">
        <v>1007</v>
      </c>
    </row>
    <row r="295" spans="1:12" ht="14">
      <c r="A295" s="49">
        <v>293</v>
      </c>
      <c r="B295" s="50" t="s">
        <v>926</v>
      </c>
      <c r="C295" s="40" t="s">
        <v>14</v>
      </c>
      <c r="D295" s="40" t="s">
        <v>15</v>
      </c>
      <c r="E295" s="51">
        <v>2390</v>
      </c>
      <c r="F295" s="19">
        <v>1</v>
      </c>
      <c r="G295" s="40">
        <v>2008</v>
      </c>
      <c r="H295" s="40" t="s">
        <v>1008</v>
      </c>
      <c r="I295" s="40" t="s">
        <v>1009</v>
      </c>
      <c r="J295" s="40" t="s">
        <v>1010</v>
      </c>
      <c r="K295" s="52" t="s">
        <v>1011</v>
      </c>
    </row>
    <row r="296" spans="1:12" customFormat="1" ht="14">
      <c r="A296" s="1">
        <v>294</v>
      </c>
      <c r="B296" s="2" t="s">
        <v>926</v>
      </c>
      <c r="C296" s="4" t="s">
        <v>14</v>
      </c>
      <c r="D296" s="4" t="s">
        <v>15</v>
      </c>
      <c r="E296" s="5">
        <v>2390</v>
      </c>
      <c r="F296" s="3">
        <v>4</v>
      </c>
      <c r="G296" s="4">
        <v>2007</v>
      </c>
      <c r="H296" s="6" t="s">
        <v>1012</v>
      </c>
      <c r="I296" s="6" t="s">
        <v>1013</v>
      </c>
      <c r="J296" s="4" t="s">
        <v>242</v>
      </c>
      <c r="K296" s="7" t="s">
        <v>1014</v>
      </c>
    </row>
    <row r="297" spans="1:12" customFormat="1" ht="14">
      <c r="A297" s="1">
        <v>295</v>
      </c>
      <c r="B297" s="2" t="s">
        <v>926</v>
      </c>
      <c r="C297" s="4" t="s">
        <v>14</v>
      </c>
      <c r="D297" s="4" t="s">
        <v>15</v>
      </c>
      <c r="E297" s="5">
        <v>2390</v>
      </c>
      <c r="F297" s="3">
        <v>3</v>
      </c>
      <c r="G297" s="4">
        <v>2012</v>
      </c>
      <c r="H297" s="6" t="s">
        <v>1015</v>
      </c>
      <c r="I297" s="4" t="s">
        <v>1016</v>
      </c>
      <c r="J297" s="4" t="s">
        <v>1017</v>
      </c>
      <c r="K297" s="7" t="s">
        <v>1018</v>
      </c>
    </row>
    <row r="298" spans="1:12" customFormat="1" ht="14">
      <c r="A298" s="1">
        <v>296</v>
      </c>
      <c r="B298" s="2" t="s">
        <v>1019</v>
      </c>
      <c r="C298" s="4" t="s">
        <v>14</v>
      </c>
      <c r="D298" s="4" t="s">
        <v>374</v>
      </c>
      <c r="E298" s="5">
        <v>17200</v>
      </c>
      <c r="F298" s="3">
        <v>3</v>
      </c>
      <c r="G298" s="4">
        <v>2007</v>
      </c>
      <c r="H298" s="6" t="s">
        <v>1020</v>
      </c>
      <c r="I298" s="4" t="s">
        <v>481</v>
      </c>
      <c r="J298" s="4" t="s">
        <v>1021</v>
      </c>
      <c r="K298" s="7" t="s">
        <v>1022</v>
      </c>
      <c r="L298" s="5"/>
    </row>
    <row r="299" spans="1:12" customFormat="1" ht="14">
      <c r="A299" s="1">
        <v>297</v>
      </c>
      <c r="B299" s="2" t="s">
        <v>1019</v>
      </c>
      <c r="C299" s="4" t="s">
        <v>14</v>
      </c>
      <c r="D299" s="4" t="s">
        <v>374</v>
      </c>
      <c r="E299" s="5">
        <v>17200</v>
      </c>
      <c r="F299" s="3">
        <v>3</v>
      </c>
      <c r="G299" s="4">
        <v>2010</v>
      </c>
      <c r="H299" s="6" t="s">
        <v>1023</v>
      </c>
      <c r="I299" s="4" t="s">
        <v>37</v>
      </c>
      <c r="J299" s="4" t="s">
        <v>550</v>
      </c>
      <c r="K299" s="7" t="s">
        <v>1024</v>
      </c>
    </row>
    <row r="300" spans="1:12" ht="14">
      <c r="A300" s="49">
        <v>298</v>
      </c>
      <c r="B300" s="50" t="s">
        <v>1019</v>
      </c>
      <c r="C300" s="40" t="s">
        <v>14</v>
      </c>
      <c r="D300" s="40" t="s">
        <v>374</v>
      </c>
      <c r="E300" s="51">
        <v>17200</v>
      </c>
      <c r="F300" s="19">
        <v>2</v>
      </c>
      <c r="G300" s="40">
        <v>2010</v>
      </c>
      <c r="H300" s="40" t="s">
        <v>1025</v>
      </c>
      <c r="I300" s="40" t="s">
        <v>484</v>
      </c>
      <c r="J300" s="40" t="s">
        <v>1026</v>
      </c>
      <c r="K300" s="52" t="s">
        <v>1027</v>
      </c>
    </row>
    <row r="301" spans="1:12" customFormat="1" ht="14">
      <c r="A301" s="1">
        <v>299</v>
      </c>
      <c r="B301" s="2" t="s">
        <v>1028</v>
      </c>
      <c r="C301" s="4" t="s">
        <v>14</v>
      </c>
      <c r="D301" s="4" t="s">
        <v>374</v>
      </c>
      <c r="E301" s="5">
        <v>17900</v>
      </c>
      <c r="F301" s="3">
        <v>3</v>
      </c>
      <c r="G301" s="4">
        <v>2011</v>
      </c>
      <c r="H301" s="6" t="s">
        <v>1029</v>
      </c>
      <c r="I301" s="4" t="s">
        <v>64</v>
      </c>
      <c r="J301" s="4" t="s">
        <v>1030</v>
      </c>
      <c r="K301" s="7" t="s">
        <v>1031</v>
      </c>
      <c r="L301" s="5"/>
    </row>
    <row r="302" spans="1:12" ht="14">
      <c r="A302" s="49">
        <v>300</v>
      </c>
      <c r="B302" s="50" t="s">
        <v>1028</v>
      </c>
      <c r="C302" s="40" t="s">
        <v>14</v>
      </c>
      <c r="D302" s="40" t="s">
        <v>374</v>
      </c>
      <c r="E302" s="51">
        <v>17900</v>
      </c>
      <c r="F302" s="19">
        <v>1</v>
      </c>
      <c r="G302" s="40">
        <v>2011</v>
      </c>
      <c r="H302" s="40" t="s">
        <v>1032</v>
      </c>
      <c r="I302" s="40" t="s">
        <v>420</v>
      </c>
      <c r="J302" s="40" t="s">
        <v>421</v>
      </c>
      <c r="K302" s="52" t="s">
        <v>1033</v>
      </c>
    </row>
    <row r="303" spans="1:12" ht="15.75" customHeight="1">
      <c r="A303" s="49">
        <v>301</v>
      </c>
      <c r="B303" s="50" t="s">
        <v>1028</v>
      </c>
      <c r="C303" s="40" t="s">
        <v>14</v>
      </c>
      <c r="D303" s="40" t="s">
        <v>374</v>
      </c>
      <c r="E303" s="51">
        <v>17900</v>
      </c>
      <c r="F303" s="19">
        <v>2</v>
      </c>
      <c r="G303" s="40">
        <v>2013</v>
      </c>
      <c r="H303" s="40" t="s">
        <v>1034</v>
      </c>
      <c r="I303" s="40" t="s">
        <v>445</v>
      </c>
      <c r="J303" s="40" t="s">
        <v>1035</v>
      </c>
      <c r="K303" s="52" t="s">
        <v>1036</v>
      </c>
    </row>
    <row r="304" spans="1:12" ht="28">
      <c r="A304" s="49">
        <v>302</v>
      </c>
      <c r="B304" s="50" t="s">
        <v>1037</v>
      </c>
      <c r="C304" s="40" t="s">
        <v>14</v>
      </c>
      <c r="D304" s="40" t="s">
        <v>374</v>
      </c>
      <c r="E304" s="51">
        <v>12800</v>
      </c>
      <c r="F304" s="19">
        <v>2</v>
      </c>
      <c r="G304" s="40">
        <v>2008</v>
      </c>
      <c r="H304" s="40" t="s">
        <v>1038</v>
      </c>
      <c r="I304" s="40" t="s">
        <v>1039</v>
      </c>
      <c r="J304" s="40" t="s">
        <v>1040</v>
      </c>
      <c r="K304" s="52" t="s">
        <v>1041</v>
      </c>
      <c r="L304" s="51"/>
    </row>
    <row r="305" spans="1:12" ht="28">
      <c r="A305" s="49">
        <v>303</v>
      </c>
      <c r="B305" s="50" t="s">
        <v>1037</v>
      </c>
      <c r="C305" s="40" t="s">
        <v>14</v>
      </c>
      <c r="D305" s="40" t="s">
        <v>374</v>
      </c>
      <c r="E305" s="51">
        <v>12800</v>
      </c>
      <c r="F305" s="19">
        <v>2</v>
      </c>
      <c r="G305" s="40">
        <v>2011</v>
      </c>
      <c r="H305" s="40" t="s">
        <v>1042</v>
      </c>
      <c r="I305" s="40" t="s">
        <v>230</v>
      </c>
      <c r="J305" s="40" t="s">
        <v>1043</v>
      </c>
      <c r="K305" s="52" t="s">
        <v>1044</v>
      </c>
      <c r="L305" s="56"/>
    </row>
    <row r="306" spans="1:12" ht="28">
      <c r="A306" s="49">
        <v>304</v>
      </c>
      <c r="B306" s="50" t="s">
        <v>1037</v>
      </c>
      <c r="C306" s="40" t="s">
        <v>14</v>
      </c>
      <c r="D306" s="40" t="s">
        <v>374</v>
      </c>
      <c r="E306" s="51">
        <v>12800</v>
      </c>
      <c r="F306" s="19">
        <v>2</v>
      </c>
      <c r="G306" s="40">
        <v>2008</v>
      </c>
      <c r="H306" s="40" t="s">
        <v>1045</v>
      </c>
      <c r="I306" s="40" t="s">
        <v>37</v>
      </c>
      <c r="J306" s="40" t="s">
        <v>1046</v>
      </c>
      <c r="K306" s="52" t="s">
        <v>1047</v>
      </c>
    </row>
    <row r="307" spans="1:12" customFormat="1" ht="28">
      <c r="A307" s="1">
        <v>305</v>
      </c>
      <c r="B307" s="2" t="s">
        <v>1037</v>
      </c>
      <c r="C307" s="4" t="s">
        <v>14</v>
      </c>
      <c r="D307" s="4" t="s">
        <v>374</v>
      </c>
      <c r="E307" s="5">
        <v>12800</v>
      </c>
      <c r="F307" s="3">
        <v>3</v>
      </c>
      <c r="G307" s="4">
        <v>2010</v>
      </c>
      <c r="H307" s="6" t="s">
        <v>1048</v>
      </c>
      <c r="I307" s="4" t="s">
        <v>1049</v>
      </c>
      <c r="J307" s="4" t="s">
        <v>1050</v>
      </c>
      <c r="K307" s="7" t="s">
        <v>1051</v>
      </c>
    </row>
    <row r="308" spans="1:12" customFormat="1" ht="28">
      <c r="A308" s="1">
        <v>306</v>
      </c>
      <c r="B308" s="2" t="s">
        <v>1037</v>
      </c>
      <c r="C308" s="4" t="s">
        <v>14</v>
      </c>
      <c r="D308" s="4" t="s">
        <v>374</v>
      </c>
      <c r="E308" s="5">
        <v>12800</v>
      </c>
      <c r="F308" s="3">
        <v>3</v>
      </c>
      <c r="G308" s="4">
        <v>2011</v>
      </c>
      <c r="H308" s="6" t="s">
        <v>1052</v>
      </c>
      <c r="I308" s="4" t="s">
        <v>37</v>
      </c>
      <c r="J308" s="4" t="s">
        <v>1053</v>
      </c>
      <c r="K308" s="7" t="s">
        <v>1054</v>
      </c>
    </row>
    <row r="309" spans="1:12" customFormat="1" ht="28">
      <c r="A309" s="1">
        <v>307</v>
      </c>
      <c r="B309" s="2" t="s">
        <v>1037</v>
      </c>
      <c r="C309" s="4" t="s">
        <v>14</v>
      </c>
      <c r="D309" s="4" t="s">
        <v>374</v>
      </c>
      <c r="E309" s="5">
        <v>12800</v>
      </c>
      <c r="F309" s="3">
        <v>3</v>
      </c>
      <c r="G309" s="4">
        <v>2008</v>
      </c>
      <c r="H309" s="6" t="s">
        <v>1055</v>
      </c>
      <c r="I309" s="4" t="s">
        <v>445</v>
      </c>
      <c r="J309" s="4" t="s">
        <v>421</v>
      </c>
      <c r="K309" s="7" t="s">
        <v>1056</v>
      </c>
    </row>
    <row r="310" spans="1:12" customFormat="1" ht="28">
      <c r="A310" s="1">
        <v>308</v>
      </c>
      <c r="B310" s="2" t="s">
        <v>1037</v>
      </c>
      <c r="C310" s="4" t="s">
        <v>14</v>
      </c>
      <c r="D310" s="4" t="s">
        <v>374</v>
      </c>
      <c r="E310" s="5">
        <v>12800</v>
      </c>
      <c r="F310" s="3">
        <v>3</v>
      </c>
      <c r="G310" s="4">
        <v>2013</v>
      </c>
      <c r="H310" s="6" t="s">
        <v>1057</v>
      </c>
      <c r="I310" s="4" t="s">
        <v>37</v>
      </c>
      <c r="J310" s="4" t="s">
        <v>1058</v>
      </c>
      <c r="K310" s="7" t="s">
        <v>1059</v>
      </c>
    </row>
    <row r="311" spans="1:12" customFormat="1" ht="28">
      <c r="A311" s="1">
        <v>309</v>
      </c>
      <c r="B311" s="2" t="s">
        <v>1037</v>
      </c>
      <c r="C311" s="4" t="s">
        <v>14</v>
      </c>
      <c r="D311" s="4" t="s">
        <v>374</v>
      </c>
      <c r="E311" s="5">
        <v>12800</v>
      </c>
      <c r="F311" s="3">
        <v>3</v>
      </c>
      <c r="G311" s="4">
        <v>2014</v>
      </c>
      <c r="H311" s="6" t="s">
        <v>1060</v>
      </c>
      <c r="I311" s="4" t="s">
        <v>230</v>
      </c>
      <c r="J311" s="11" t="s">
        <v>1061</v>
      </c>
      <c r="K311" s="7" t="s">
        <v>1062</v>
      </c>
    </row>
    <row r="312" spans="1:12" customFormat="1" ht="28">
      <c r="A312" s="1">
        <v>310</v>
      </c>
      <c r="B312" s="2" t="s">
        <v>1037</v>
      </c>
      <c r="C312" s="4" t="s">
        <v>14</v>
      </c>
      <c r="D312" s="4" t="s">
        <v>374</v>
      </c>
      <c r="E312" s="5">
        <v>12800</v>
      </c>
      <c r="F312" s="3">
        <v>3</v>
      </c>
      <c r="G312" s="4">
        <v>2009</v>
      </c>
      <c r="H312" s="6" t="s">
        <v>1063</v>
      </c>
      <c r="I312" s="4" t="s">
        <v>1064</v>
      </c>
      <c r="J312" s="4" t="s">
        <v>1065</v>
      </c>
      <c r="K312" s="7" t="s">
        <v>1066</v>
      </c>
    </row>
    <row r="313" spans="1:12" ht="28">
      <c r="A313" s="49">
        <v>311</v>
      </c>
      <c r="B313" s="50" t="s">
        <v>1037</v>
      </c>
      <c r="C313" s="40" t="s">
        <v>14</v>
      </c>
      <c r="D313" s="40" t="s">
        <v>374</v>
      </c>
      <c r="E313" s="51">
        <v>12800</v>
      </c>
      <c r="F313" s="19">
        <v>2</v>
      </c>
      <c r="G313" s="40">
        <v>2013</v>
      </c>
      <c r="H313" s="40" t="s">
        <v>1067</v>
      </c>
      <c r="I313" s="40" t="s">
        <v>1068</v>
      </c>
      <c r="J313" s="40" t="s">
        <v>1069</v>
      </c>
      <c r="K313" s="52" t="s">
        <v>1070</v>
      </c>
    </row>
    <row r="314" spans="1:12" customFormat="1" ht="28">
      <c r="A314" s="1">
        <v>312</v>
      </c>
      <c r="B314" s="2" t="s">
        <v>1037</v>
      </c>
      <c r="C314" s="4" t="s">
        <v>14</v>
      </c>
      <c r="D314" s="4" t="s">
        <v>374</v>
      </c>
      <c r="E314" s="5">
        <v>12800</v>
      </c>
      <c r="F314" s="3">
        <v>3</v>
      </c>
      <c r="G314" s="4">
        <v>2013</v>
      </c>
      <c r="H314" s="6" t="s">
        <v>1071</v>
      </c>
      <c r="I314" s="4" t="s">
        <v>25</v>
      </c>
      <c r="J314" s="4" t="s">
        <v>1072</v>
      </c>
      <c r="K314" s="7" t="s">
        <v>1073</v>
      </c>
    </row>
    <row r="315" spans="1:12" customFormat="1" ht="28">
      <c r="A315" s="1">
        <v>313</v>
      </c>
      <c r="B315" s="2" t="s">
        <v>1037</v>
      </c>
      <c r="C315" s="4" t="s">
        <v>14</v>
      </c>
      <c r="D315" s="4" t="s">
        <v>374</v>
      </c>
      <c r="E315" s="5">
        <v>12800</v>
      </c>
      <c r="F315" s="3">
        <v>3</v>
      </c>
      <c r="G315" s="4">
        <v>2010</v>
      </c>
      <c r="H315" s="6" t="s">
        <v>1074</v>
      </c>
      <c r="I315" s="6" t="s">
        <v>1075</v>
      </c>
      <c r="J315" s="6" t="s">
        <v>1076</v>
      </c>
      <c r="K315" s="7" t="s">
        <v>1077</v>
      </c>
    </row>
    <row r="316" spans="1:12" customFormat="1" ht="28">
      <c r="A316" s="1">
        <v>314</v>
      </c>
      <c r="B316" s="2" t="s">
        <v>1037</v>
      </c>
      <c r="C316" s="4" t="s">
        <v>14</v>
      </c>
      <c r="D316" s="4" t="s">
        <v>374</v>
      </c>
      <c r="E316" s="5">
        <v>12800</v>
      </c>
      <c r="F316" s="3">
        <v>3</v>
      </c>
      <c r="G316" s="4">
        <v>2011</v>
      </c>
      <c r="H316" s="6" t="s">
        <v>1078</v>
      </c>
      <c r="I316" s="4" t="s">
        <v>1079</v>
      </c>
      <c r="J316" s="4" t="s">
        <v>200</v>
      </c>
      <c r="K316" s="7" t="s">
        <v>1080</v>
      </c>
    </row>
    <row r="317" spans="1:12" customFormat="1" ht="28">
      <c r="A317" s="1">
        <v>315</v>
      </c>
      <c r="B317" s="2" t="s">
        <v>1037</v>
      </c>
      <c r="C317" s="4" t="s">
        <v>14</v>
      </c>
      <c r="D317" s="4" t="s">
        <v>374</v>
      </c>
      <c r="E317" s="5">
        <v>12800</v>
      </c>
      <c r="F317" s="3">
        <v>3</v>
      </c>
      <c r="G317" s="4">
        <v>2008</v>
      </c>
      <c r="H317" s="6" t="s">
        <v>1081</v>
      </c>
      <c r="I317" s="4" t="s">
        <v>209</v>
      </c>
      <c r="J317" s="4" t="s">
        <v>1082</v>
      </c>
      <c r="K317" s="7" t="s">
        <v>1083</v>
      </c>
    </row>
    <row r="318" spans="1:12" ht="28">
      <c r="A318" s="49">
        <v>316</v>
      </c>
      <c r="B318" s="50" t="s">
        <v>1037</v>
      </c>
      <c r="C318" s="40" t="s">
        <v>14</v>
      </c>
      <c r="D318" s="40" t="s">
        <v>374</v>
      </c>
      <c r="E318" s="51">
        <v>12800</v>
      </c>
      <c r="F318" s="19">
        <v>2</v>
      </c>
      <c r="G318" s="40">
        <v>2011</v>
      </c>
      <c r="H318" s="57" t="s">
        <v>1084</v>
      </c>
      <c r="I318" s="40" t="s">
        <v>37</v>
      </c>
      <c r="J318" s="40" t="s">
        <v>1085</v>
      </c>
      <c r="K318" s="52" t="s">
        <v>1086</v>
      </c>
    </row>
    <row r="319" spans="1:12" ht="28">
      <c r="A319" s="49">
        <v>317</v>
      </c>
      <c r="B319" s="50" t="s">
        <v>1037</v>
      </c>
      <c r="C319" s="40" t="s">
        <v>14</v>
      </c>
      <c r="D319" s="40" t="s">
        <v>374</v>
      </c>
      <c r="E319" s="51">
        <v>12800</v>
      </c>
      <c r="F319" s="19">
        <v>1</v>
      </c>
      <c r="G319" s="40">
        <v>2009</v>
      </c>
      <c r="H319" s="40" t="s">
        <v>1087</v>
      </c>
      <c r="I319" s="40" t="s">
        <v>1075</v>
      </c>
      <c r="J319" s="40" t="s">
        <v>1088</v>
      </c>
      <c r="K319" s="52" t="s">
        <v>1089</v>
      </c>
    </row>
    <row r="320" spans="1:12" ht="14">
      <c r="A320" s="49">
        <v>318</v>
      </c>
      <c r="B320" s="50" t="s">
        <v>1090</v>
      </c>
      <c r="C320" s="40" t="s">
        <v>14</v>
      </c>
      <c r="D320" s="40" t="s">
        <v>15</v>
      </c>
      <c r="E320" s="51">
        <v>17600</v>
      </c>
      <c r="F320" s="19">
        <v>2</v>
      </c>
      <c r="G320" s="40">
        <v>2012</v>
      </c>
      <c r="H320" s="40" t="s">
        <v>1091</v>
      </c>
      <c r="I320" s="40" t="s">
        <v>103</v>
      </c>
      <c r="J320" s="40" t="s">
        <v>1092</v>
      </c>
      <c r="K320" s="52" t="s">
        <v>1093</v>
      </c>
      <c r="L320" s="51"/>
    </row>
    <row r="321" spans="1:12" customFormat="1" ht="14">
      <c r="A321" s="1">
        <v>319</v>
      </c>
      <c r="B321" s="2" t="s">
        <v>1090</v>
      </c>
      <c r="C321" s="4" t="s">
        <v>14</v>
      </c>
      <c r="D321" s="4" t="s">
        <v>15</v>
      </c>
      <c r="E321" s="5">
        <v>17600</v>
      </c>
      <c r="F321" s="3">
        <v>3</v>
      </c>
      <c r="G321" s="4">
        <v>2007</v>
      </c>
      <c r="H321" s="6" t="s">
        <v>1094</v>
      </c>
      <c r="I321" s="4" t="s">
        <v>87</v>
      </c>
      <c r="J321" s="4" t="s">
        <v>778</v>
      </c>
      <c r="K321" s="7" t="s">
        <v>1095</v>
      </c>
    </row>
    <row r="322" spans="1:12" ht="14">
      <c r="A322" s="49">
        <v>320</v>
      </c>
      <c r="B322" s="50" t="s">
        <v>1090</v>
      </c>
      <c r="C322" s="40" t="s">
        <v>14</v>
      </c>
      <c r="D322" s="40" t="s">
        <v>15</v>
      </c>
      <c r="E322" s="51">
        <v>17600</v>
      </c>
      <c r="F322" s="19">
        <v>1</v>
      </c>
      <c r="G322" s="40">
        <v>2012</v>
      </c>
      <c r="H322" s="40" t="s">
        <v>1096</v>
      </c>
      <c r="I322" s="40" t="s">
        <v>1097</v>
      </c>
      <c r="J322" s="40" t="s">
        <v>1098</v>
      </c>
      <c r="K322" s="52" t="s">
        <v>1099</v>
      </c>
    </row>
    <row r="323" spans="1:12" ht="14">
      <c r="A323" s="49">
        <v>321</v>
      </c>
      <c r="B323" s="50" t="s">
        <v>1090</v>
      </c>
      <c r="C323" s="40" t="s">
        <v>14</v>
      </c>
      <c r="D323" s="40" t="s">
        <v>15</v>
      </c>
      <c r="E323" s="51">
        <v>17600</v>
      </c>
      <c r="F323" s="19">
        <v>1</v>
      </c>
      <c r="G323" s="40">
        <v>2007</v>
      </c>
      <c r="H323" s="40" t="s">
        <v>1100</v>
      </c>
      <c r="I323" s="40" t="s">
        <v>87</v>
      </c>
      <c r="K323" s="52" t="s">
        <v>1101</v>
      </c>
    </row>
    <row r="324" spans="1:12" customFormat="1" ht="14">
      <c r="A324" s="1">
        <v>322</v>
      </c>
      <c r="B324" s="2" t="s">
        <v>1090</v>
      </c>
      <c r="C324" s="4" t="s">
        <v>14</v>
      </c>
      <c r="D324" s="4" t="s">
        <v>15</v>
      </c>
      <c r="E324" s="5">
        <v>17600</v>
      </c>
      <c r="F324" s="3">
        <v>4</v>
      </c>
      <c r="G324" s="4">
        <v>2010</v>
      </c>
      <c r="H324" s="6" t="s">
        <v>1102</v>
      </c>
      <c r="I324" s="4" t="s">
        <v>635</v>
      </c>
      <c r="J324" s="4" t="s">
        <v>1103</v>
      </c>
      <c r="K324" s="7" t="s">
        <v>1104</v>
      </c>
    </row>
    <row r="325" spans="1:12" customFormat="1" ht="14">
      <c r="A325" s="1">
        <v>323</v>
      </c>
      <c r="B325" s="2" t="s">
        <v>1090</v>
      </c>
      <c r="C325" s="4" t="s">
        <v>14</v>
      </c>
      <c r="D325" s="4" t="s">
        <v>15</v>
      </c>
      <c r="E325" s="5">
        <v>17600</v>
      </c>
      <c r="F325" s="3">
        <v>3</v>
      </c>
      <c r="G325" s="4">
        <v>2012</v>
      </c>
      <c r="H325" s="6" t="s">
        <v>1105</v>
      </c>
      <c r="I325" s="4" t="s">
        <v>1106</v>
      </c>
      <c r="J325" s="4" t="s">
        <v>1107</v>
      </c>
      <c r="K325" s="7" t="s">
        <v>1108</v>
      </c>
    </row>
    <row r="326" spans="1:12" customFormat="1" ht="14">
      <c r="A326" s="1">
        <v>324</v>
      </c>
      <c r="B326" s="2" t="s">
        <v>1090</v>
      </c>
      <c r="C326" s="4" t="s">
        <v>14</v>
      </c>
      <c r="D326" s="4" t="s">
        <v>15</v>
      </c>
      <c r="E326" s="5">
        <v>17600</v>
      </c>
      <c r="F326" s="3">
        <v>3</v>
      </c>
      <c r="G326" s="4">
        <v>2006</v>
      </c>
      <c r="H326" s="6" t="s">
        <v>1109</v>
      </c>
      <c r="I326" s="4" t="s">
        <v>690</v>
      </c>
      <c r="J326" s="4" t="s">
        <v>1110</v>
      </c>
      <c r="K326" s="7" t="s">
        <v>1111</v>
      </c>
    </row>
    <row r="327" spans="1:12" customFormat="1" ht="14">
      <c r="A327" s="1">
        <v>325</v>
      </c>
      <c r="B327" s="2" t="s">
        <v>1090</v>
      </c>
      <c r="C327" s="4" t="s">
        <v>14</v>
      </c>
      <c r="D327" s="4" t="s">
        <v>15</v>
      </c>
      <c r="E327" s="5">
        <v>17600</v>
      </c>
      <c r="F327" s="3">
        <v>3</v>
      </c>
      <c r="G327" s="4">
        <v>2007</v>
      </c>
      <c r="H327" s="6" t="s">
        <v>1112</v>
      </c>
      <c r="I327" s="9" t="s">
        <v>90</v>
      </c>
      <c r="J327" s="4" t="s">
        <v>1113</v>
      </c>
      <c r="K327" s="7" t="s">
        <v>1114</v>
      </c>
    </row>
    <row r="328" spans="1:12" ht="14">
      <c r="A328" s="49">
        <v>326</v>
      </c>
      <c r="B328" s="50" t="s">
        <v>1090</v>
      </c>
      <c r="C328" s="40" t="s">
        <v>14</v>
      </c>
      <c r="D328" s="40" t="s">
        <v>15</v>
      </c>
      <c r="E328" s="51">
        <v>17600</v>
      </c>
      <c r="F328" s="19">
        <v>1</v>
      </c>
      <c r="G328" s="40">
        <v>2010</v>
      </c>
      <c r="H328" s="40" t="s">
        <v>1115</v>
      </c>
      <c r="I328" s="40" t="s">
        <v>76</v>
      </c>
      <c r="J328" s="40" t="s">
        <v>1116</v>
      </c>
      <c r="K328" s="52" t="s">
        <v>1117</v>
      </c>
    </row>
    <row r="329" spans="1:12" ht="14">
      <c r="A329" s="49">
        <v>327</v>
      </c>
      <c r="B329" s="50" t="s">
        <v>1090</v>
      </c>
      <c r="C329" s="40" t="s">
        <v>14</v>
      </c>
      <c r="D329" s="40" t="s">
        <v>15</v>
      </c>
      <c r="E329" s="51">
        <v>17600</v>
      </c>
      <c r="F329" s="19">
        <v>1</v>
      </c>
      <c r="G329" s="40">
        <v>2012</v>
      </c>
      <c r="H329" s="40" t="s">
        <v>1118</v>
      </c>
      <c r="I329" s="40" t="s">
        <v>103</v>
      </c>
      <c r="J329" s="40" t="s">
        <v>1119</v>
      </c>
      <c r="K329" s="52" t="s">
        <v>1120</v>
      </c>
    </row>
    <row r="330" spans="1:12" customFormat="1" ht="14">
      <c r="A330" s="1">
        <v>328</v>
      </c>
      <c r="B330" s="2" t="s">
        <v>1090</v>
      </c>
      <c r="C330" s="4" t="s">
        <v>14</v>
      </c>
      <c r="D330" s="4" t="s">
        <v>15</v>
      </c>
      <c r="E330" s="5">
        <v>17600</v>
      </c>
      <c r="F330" s="3">
        <v>3</v>
      </c>
      <c r="G330" s="4">
        <v>2012</v>
      </c>
      <c r="H330" s="6" t="s">
        <v>1121</v>
      </c>
      <c r="I330" s="4" t="s">
        <v>103</v>
      </c>
      <c r="J330" s="4" t="s">
        <v>1122</v>
      </c>
      <c r="K330" s="7" t="s">
        <v>1123</v>
      </c>
    </row>
    <row r="331" spans="1:12" ht="14">
      <c r="A331" s="49">
        <v>329</v>
      </c>
      <c r="B331" s="50" t="s">
        <v>1090</v>
      </c>
      <c r="C331" s="40" t="s">
        <v>14</v>
      </c>
      <c r="D331" s="40" t="s">
        <v>15</v>
      </c>
      <c r="E331" s="51">
        <v>17600</v>
      </c>
      <c r="F331" s="19">
        <v>1</v>
      </c>
      <c r="G331" s="40">
        <v>2012</v>
      </c>
      <c r="H331" s="40" t="s">
        <v>1124</v>
      </c>
      <c r="I331" s="40" t="s">
        <v>76</v>
      </c>
      <c r="J331" s="40" t="s">
        <v>1125</v>
      </c>
      <c r="K331" s="52" t="s">
        <v>1126</v>
      </c>
    </row>
    <row r="332" spans="1:12" ht="14">
      <c r="A332" s="49">
        <v>330</v>
      </c>
      <c r="B332" s="50" t="s">
        <v>1090</v>
      </c>
      <c r="C332" s="40" t="s">
        <v>14</v>
      </c>
      <c r="D332" s="40" t="s">
        <v>15</v>
      </c>
      <c r="E332" s="51">
        <v>17600</v>
      </c>
      <c r="F332" s="19">
        <v>2</v>
      </c>
      <c r="G332" s="40">
        <v>2008</v>
      </c>
      <c r="H332" s="40" t="s">
        <v>1127</v>
      </c>
      <c r="I332" s="40" t="s">
        <v>60</v>
      </c>
      <c r="J332" s="40" t="s">
        <v>1128</v>
      </c>
      <c r="K332" s="52" t="s">
        <v>1129</v>
      </c>
    </row>
    <row r="333" spans="1:12" ht="14">
      <c r="A333" s="49">
        <v>331</v>
      </c>
      <c r="B333" s="50" t="s">
        <v>1090</v>
      </c>
      <c r="C333" s="40" t="s">
        <v>14</v>
      </c>
      <c r="D333" s="40" t="s">
        <v>15</v>
      </c>
      <c r="E333" s="51">
        <v>17600</v>
      </c>
      <c r="F333" s="19">
        <v>2</v>
      </c>
      <c r="G333" s="40">
        <v>2013</v>
      </c>
      <c r="H333" s="40" t="s">
        <v>1130</v>
      </c>
      <c r="I333" s="40" t="s">
        <v>481</v>
      </c>
      <c r="J333" s="40" t="s">
        <v>1131</v>
      </c>
      <c r="K333" s="52" t="s">
        <v>1132</v>
      </c>
    </row>
    <row r="334" spans="1:12" customFormat="1" ht="14">
      <c r="A334" s="1">
        <v>332</v>
      </c>
      <c r="B334" s="2" t="s">
        <v>1090</v>
      </c>
      <c r="C334" s="4" t="s">
        <v>14</v>
      </c>
      <c r="D334" s="4" t="s">
        <v>15</v>
      </c>
      <c r="E334" s="5">
        <v>17600</v>
      </c>
      <c r="F334" s="3">
        <v>3</v>
      </c>
      <c r="G334" s="4">
        <v>2006</v>
      </c>
      <c r="H334" s="10" t="s">
        <v>1133</v>
      </c>
      <c r="I334" s="4" t="s">
        <v>1134</v>
      </c>
      <c r="J334" s="4" t="s">
        <v>1135</v>
      </c>
      <c r="K334" s="7" t="s">
        <v>1136</v>
      </c>
    </row>
    <row r="335" spans="1:12" customFormat="1" ht="14">
      <c r="A335" s="1">
        <v>333</v>
      </c>
      <c r="B335" s="2" t="s">
        <v>1137</v>
      </c>
      <c r="C335" s="4" t="s">
        <v>14</v>
      </c>
      <c r="D335" s="4" t="s">
        <v>15</v>
      </c>
      <c r="E335" s="5">
        <v>14400</v>
      </c>
      <c r="F335" s="3">
        <v>3</v>
      </c>
      <c r="G335" s="4">
        <v>2008</v>
      </c>
      <c r="H335" s="6" t="s">
        <v>1138</v>
      </c>
      <c r="I335" s="4" t="s">
        <v>1139</v>
      </c>
      <c r="J335" s="4" t="s">
        <v>1140</v>
      </c>
      <c r="K335" s="7" t="s">
        <v>1141</v>
      </c>
      <c r="L335" s="5"/>
    </row>
    <row r="336" spans="1:12" ht="14">
      <c r="A336" s="49">
        <v>334</v>
      </c>
      <c r="B336" s="50" t="s">
        <v>1137</v>
      </c>
      <c r="C336" s="40" t="s">
        <v>14</v>
      </c>
      <c r="D336" s="40" t="s">
        <v>15</v>
      </c>
      <c r="E336" s="51">
        <v>14400</v>
      </c>
      <c r="F336" s="19">
        <v>2</v>
      </c>
      <c r="G336" s="40">
        <v>2009</v>
      </c>
      <c r="H336" s="40" t="s">
        <v>1142</v>
      </c>
      <c r="I336" s="22" t="s">
        <v>90</v>
      </c>
      <c r="J336" s="40" t="s">
        <v>138</v>
      </c>
      <c r="K336" s="52" t="s">
        <v>1143</v>
      </c>
    </row>
    <row r="337" spans="1:12" customFormat="1" ht="14">
      <c r="A337" s="1">
        <v>335</v>
      </c>
      <c r="B337" s="2" t="s">
        <v>1137</v>
      </c>
      <c r="C337" s="4" t="s">
        <v>14</v>
      </c>
      <c r="D337" s="4" t="s">
        <v>15</v>
      </c>
      <c r="E337" s="5">
        <v>14400</v>
      </c>
      <c r="F337" s="3">
        <v>4</v>
      </c>
      <c r="G337" s="4">
        <v>2009</v>
      </c>
      <c r="H337" s="6" t="s">
        <v>1144</v>
      </c>
      <c r="I337" s="4" t="s">
        <v>771</v>
      </c>
      <c r="J337" s="4" t="s">
        <v>1145</v>
      </c>
      <c r="K337" s="7" t="s">
        <v>1146</v>
      </c>
    </row>
    <row r="338" spans="1:12" ht="14">
      <c r="A338" s="49">
        <v>336</v>
      </c>
      <c r="B338" s="50" t="s">
        <v>1137</v>
      </c>
      <c r="C338" s="40" t="s">
        <v>14</v>
      </c>
      <c r="D338" s="40" t="s">
        <v>15</v>
      </c>
      <c r="E338" s="51">
        <v>14400</v>
      </c>
      <c r="F338" s="19">
        <v>1</v>
      </c>
      <c r="G338" s="40">
        <v>2013</v>
      </c>
      <c r="H338" s="40" t="s">
        <v>1147</v>
      </c>
      <c r="I338" s="40" t="s">
        <v>1148</v>
      </c>
      <c r="J338" s="40" t="s">
        <v>91</v>
      </c>
      <c r="K338" s="52" t="s">
        <v>1149</v>
      </c>
    </row>
    <row r="339" spans="1:12" ht="14">
      <c r="A339" s="49">
        <v>337</v>
      </c>
      <c r="B339" s="50" t="s">
        <v>1137</v>
      </c>
      <c r="C339" s="40" t="s">
        <v>14</v>
      </c>
      <c r="D339" s="40" t="s">
        <v>15</v>
      </c>
      <c r="E339" s="51">
        <v>14400</v>
      </c>
      <c r="F339" s="19">
        <v>1</v>
      </c>
      <c r="G339" s="40">
        <v>2011</v>
      </c>
      <c r="H339" s="40" t="s">
        <v>1150</v>
      </c>
      <c r="I339" s="40" t="s">
        <v>771</v>
      </c>
      <c r="J339" s="40" t="s">
        <v>1151</v>
      </c>
      <c r="K339" s="52" t="s">
        <v>1152</v>
      </c>
    </row>
    <row r="340" spans="1:12" customFormat="1" ht="14">
      <c r="A340" s="1">
        <v>338</v>
      </c>
      <c r="B340" s="2" t="s">
        <v>1137</v>
      </c>
      <c r="C340" s="4" t="s">
        <v>14</v>
      </c>
      <c r="D340" s="4" t="s">
        <v>15</v>
      </c>
      <c r="E340" s="5">
        <v>14400</v>
      </c>
      <c r="F340" s="3">
        <v>3</v>
      </c>
      <c r="G340" s="4">
        <v>2010</v>
      </c>
      <c r="H340" s="6" t="s">
        <v>1153</v>
      </c>
      <c r="I340" s="4" t="s">
        <v>1154</v>
      </c>
      <c r="J340" s="4" t="s">
        <v>1155</v>
      </c>
      <c r="K340" s="7" t="s">
        <v>1156</v>
      </c>
    </row>
    <row r="341" spans="1:12" customFormat="1" ht="14">
      <c r="A341" s="1">
        <v>339</v>
      </c>
      <c r="B341" s="2" t="s">
        <v>1137</v>
      </c>
      <c r="C341" s="4" t="s">
        <v>14</v>
      </c>
      <c r="D341" s="4" t="s">
        <v>15</v>
      </c>
      <c r="E341" s="5">
        <v>14400</v>
      </c>
      <c r="F341" s="3">
        <v>4</v>
      </c>
      <c r="G341" s="4">
        <v>2011</v>
      </c>
      <c r="H341" s="6" t="s">
        <v>1157</v>
      </c>
      <c r="I341" s="9" t="s">
        <v>134</v>
      </c>
      <c r="J341" s="4" t="s">
        <v>1158</v>
      </c>
      <c r="K341" s="7" t="s">
        <v>1159</v>
      </c>
    </row>
    <row r="342" spans="1:12" ht="14">
      <c r="A342" s="49">
        <v>340</v>
      </c>
      <c r="B342" s="50" t="s">
        <v>1137</v>
      </c>
      <c r="C342" s="40" t="s">
        <v>14</v>
      </c>
      <c r="D342" s="40" t="s">
        <v>15</v>
      </c>
      <c r="E342" s="51">
        <v>14400</v>
      </c>
      <c r="F342" s="19">
        <v>2</v>
      </c>
      <c r="G342" s="40">
        <v>2010</v>
      </c>
      <c r="H342" s="40" t="s">
        <v>1160</v>
      </c>
      <c r="I342" s="40" t="s">
        <v>103</v>
      </c>
      <c r="J342" s="40" t="s">
        <v>1161</v>
      </c>
      <c r="K342" s="52" t="s">
        <v>1162</v>
      </c>
    </row>
    <row r="343" spans="1:12" customFormat="1" ht="14">
      <c r="A343" s="1">
        <v>341</v>
      </c>
      <c r="B343" s="2" t="s">
        <v>1137</v>
      </c>
      <c r="C343" s="4" t="s">
        <v>14</v>
      </c>
      <c r="D343" s="4" t="s">
        <v>15</v>
      </c>
      <c r="E343" s="5">
        <v>14400</v>
      </c>
      <c r="F343" s="3">
        <v>3</v>
      </c>
      <c r="G343" s="4">
        <v>2010</v>
      </c>
      <c r="H343" s="6" t="s">
        <v>1163</v>
      </c>
      <c r="I343" s="9" t="s">
        <v>1164</v>
      </c>
      <c r="J343" s="4" t="s">
        <v>1165</v>
      </c>
      <c r="K343" s="7" t="s">
        <v>1166</v>
      </c>
    </row>
    <row r="344" spans="1:12" ht="14">
      <c r="A344" s="49">
        <v>342</v>
      </c>
      <c r="B344" s="50" t="s">
        <v>1137</v>
      </c>
      <c r="C344" s="40" t="s">
        <v>14</v>
      </c>
      <c r="D344" s="40" t="s">
        <v>15</v>
      </c>
      <c r="E344" s="51">
        <v>14400</v>
      </c>
      <c r="F344" s="19">
        <v>2</v>
      </c>
      <c r="G344" s="40">
        <v>2008</v>
      </c>
      <c r="H344" s="40" t="s">
        <v>1167</v>
      </c>
      <c r="I344" s="40" t="s">
        <v>60</v>
      </c>
      <c r="J344" s="40" t="s">
        <v>1168</v>
      </c>
      <c r="K344" s="52" t="s">
        <v>1169</v>
      </c>
    </row>
    <row r="345" spans="1:12" ht="14">
      <c r="A345" s="49">
        <v>343</v>
      </c>
      <c r="B345" s="50" t="s">
        <v>1137</v>
      </c>
      <c r="C345" s="40" t="s">
        <v>14</v>
      </c>
      <c r="D345" s="40" t="s">
        <v>15</v>
      </c>
      <c r="E345" s="51">
        <v>14400</v>
      </c>
      <c r="F345" s="19">
        <v>2</v>
      </c>
      <c r="G345" s="40">
        <v>2011</v>
      </c>
      <c r="H345" s="40" t="s">
        <v>1170</v>
      </c>
      <c r="I345" s="40" t="s">
        <v>103</v>
      </c>
      <c r="J345" s="40" t="s">
        <v>862</v>
      </c>
      <c r="K345" s="52" t="s">
        <v>1171</v>
      </c>
    </row>
    <row r="346" spans="1:12" ht="14">
      <c r="A346" s="49">
        <v>344</v>
      </c>
      <c r="B346" s="50" t="s">
        <v>1137</v>
      </c>
      <c r="C346" s="40" t="s">
        <v>14</v>
      </c>
      <c r="D346" s="40" t="s">
        <v>15</v>
      </c>
      <c r="E346" s="51">
        <v>14400</v>
      </c>
      <c r="F346" s="19">
        <v>2</v>
      </c>
      <c r="G346" s="40">
        <v>2010</v>
      </c>
      <c r="H346" s="40" t="s">
        <v>1172</v>
      </c>
      <c r="I346" s="40" t="s">
        <v>238</v>
      </c>
      <c r="J346" s="40" t="s">
        <v>1168</v>
      </c>
      <c r="K346" s="52" t="s">
        <v>1173</v>
      </c>
    </row>
    <row r="347" spans="1:12" ht="28">
      <c r="A347" s="49">
        <v>345</v>
      </c>
      <c r="B347" s="50" t="s">
        <v>1174</v>
      </c>
      <c r="C347" s="40" t="s">
        <v>14</v>
      </c>
      <c r="D347" s="40" t="s">
        <v>15</v>
      </c>
      <c r="E347" s="51">
        <v>14200</v>
      </c>
      <c r="F347" s="19">
        <v>1</v>
      </c>
      <c r="G347" s="40">
        <v>2008</v>
      </c>
      <c r="H347" s="40" t="s">
        <v>1175</v>
      </c>
      <c r="I347" s="40" t="s">
        <v>1009</v>
      </c>
      <c r="J347" s="40" t="s">
        <v>1176</v>
      </c>
      <c r="K347" s="52" t="s">
        <v>1177</v>
      </c>
      <c r="L347" s="51"/>
    </row>
    <row r="348" spans="1:12" customFormat="1" ht="28">
      <c r="A348" s="1">
        <v>346</v>
      </c>
      <c r="B348" s="2" t="s">
        <v>1174</v>
      </c>
      <c r="C348" s="4" t="s">
        <v>14</v>
      </c>
      <c r="D348" s="4" t="s">
        <v>15</v>
      </c>
      <c r="E348" s="5">
        <v>14200</v>
      </c>
      <c r="F348" s="3">
        <v>3</v>
      </c>
      <c r="G348" s="4">
        <v>2007</v>
      </c>
      <c r="H348" s="6" t="s">
        <v>1178</v>
      </c>
      <c r="I348" s="9" t="s">
        <v>114</v>
      </c>
      <c r="J348" s="4" t="s">
        <v>1179</v>
      </c>
      <c r="K348" s="7" t="s">
        <v>1180</v>
      </c>
    </row>
    <row r="349" spans="1:12" ht="28">
      <c r="A349" s="49">
        <v>347</v>
      </c>
      <c r="B349" s="50" t="s">
        <v>1174</v>
      </c>
      <c r="C349" s="40" t="s">
        <v>14</v>
      </c>
      <c r="D349" s="40" t="s">
        <v>15</v>
      </c>
      <c r="E349" s="51">
        <v>14200</v>
      </c>
      <c r="F349" s="19">
        <v>2</v>
      </c>
      <c r="G349" s="40">
        <v>2013</v>
      </c>
      <c r="H349" s="40" t="s">
        <v>1181</v>
      </c>
      <c r="I349" s="22" t="s">
        <v>230</v>
      </c>
      <c r="J349" s="40" t="s">
        <v>1182</v>
      </c>
      <c r="K349" s="52" t="s">
        <v>1183</v>
      </c>
    </row>
    <row r="350" spans="1:12" ht="28">
      <c r="A350" s="49">
        <v>348</v>
      </c>
      <c r="B350" s="50" t="s">
        <v>1174</v>
      </c>
      <c r="C350" s="40" t="s">
        <v>14</v>
      </c>
      <c r="D350" s="40" t="s">
        <v>15</v>
      </c>
      <c r="E350" s="51">
        <v>14200</v>
      </c>
      <c r="F350" s="19">
        <v>2</v>
      </c>
      <c r="G350" s="40">
        <v>2010</v>
      </c>
      <c r="H350" s="40" t="s">
        <v>1184</v>
      </c>
      <c r="I350" s="40" t="s">
        <v>37</v>
      </c>
      <c r="J350" s="40" t="s">
        <v>1185</v>
      </c>
      <c r="K350" s="52" t="s">
        <v>1186</v>
      </c>
    </row>
    <row r="351" spans="1:12" customFormat="1" ht="28">
      <c r="A351" s="1">
        <v>349</v>
      </c>
      <c r="B351" s="2" t="s">
        <v>1174</v>
      </c>
      <c r="C351" s="4" t="s">
        <v>14</v>
      </c>
      <c r="D351" s="4" t="s">
        <v>15</v>
      </c>
      <c r="E351" s="5">
        <v>14200</v>
      </c>
      <c r="F351" s="3">
        <v>3</v>
      </c>
      <c r="G351" s="4">
        <v>2009</v>
      </c>
      <c r="H351" s="12" t="s">
        <v>1187</v>
      </c>
      <c r="I351" s="9" t="s">
        <v>64</v>
      </c>
      <c r="J351" s="4" t="s">
        <v>1188</v>
      </c>
      <c r="K351" s="7" t="s">
        <v>1189</v>
      </c>
    </row>
    <row r="352" spans="1:12" customFormat="1" ht="28">
      <c r="A352" s="1">
        <v>350</v>
      </c>
      <c r="B352" s="2" t="s">
        <v>1174</v>
      </c>
      <c r="C352" s="4" t="s">
        <v>14</v>
      </c>
      <c r="D352" s="4" t="s">
        <v>15</v>
      </c>
      <c r="E352" s="5">
        <v>14200</v>
      </c>
      <c r="F352" s="3">
        <v>3</v>
      </c>
      <c r="G352" s="4">
        <v>2008</v>
      </c>
      <c r="H352" s="6" t="s">
        <v>1190</v>
      </c>
      <c r="I352" s="4" t="s">
        <v>370</v>
      </c>
      <c r="J352" s="4" t="s">
        <v>1191</v>
      </c>
      <c r="K352" s="7" t="s">
        <v>1192</v>
      </c>
    </row>
    <row r="353" spans="1:12" customFormat="1" ht="28">
      <c r="A353" s="1">
        <v>351</v>
      </c>
      <c r="B353" s="2" t="s">
        <v>1174</v>
      </c>
      <c r="C353" s="4" t="s">
        <v>14</v>
      </c>
      <c r="D353" s="4" t="s">
        <v>15</v>
      </c>
      <c r="E353" s="5">
        <v>14200</v>
      </c>
      <c r="F353" s="3">
        <v>3</v>
      </c>
      <c r="G353" s="4">
        <v>2009</v>
      </c>
      <c r="H353" s="6" t="s">
        <v>1193</v>
      </c>
      <c r="I353" s="4" t="s">
        <v>1194</v>
      </c>
      <c r="J353" s="4" t="s">
        <v>1195</v>
      </c>
      <c r="K353" s="7" t="s">
        <v>1196</v>
      </c>
    </row>
    <row r="354" spans="1:12" customFormat="1" ht="28">
      <c r="A354" s="1">
        <v>352</v>
      </c>
      <c r="B354" s="2" t="s">
        <v>1174</v>
      </c>
      <c r="C354" s="4" t="s">
        <v>14</v>
      </c>
      <c r="D354" s="4" t="s">
        <v>15</v>
      </c>
      <c r="E354" s="5">
        <v>14200</v>
      </c>
      <c r="F354" s="3">
        <v>4</v>
      </c>
      <c r="G354" s="4">
        <v>2011</v>
      </c>
      <c r="H354" s="6" t="s">
        <v>1197</v>
      </c>
      <c r="I354" s="9" t="s">
        <v>37</v>
      </c>
      <c r="J354" s="4" t="s">
        <v>200</v>
      </c>
      <c r="K354" s="7" t="s">
        <v>1198</v>
      </c>
    </row>
    <row r="355" spans="1:12" ht="28">
      <c r="A355" s="49">
        <v>353</v>
      </c>
      <c r="B355" s="50" t="s">
        <v>1174</v>
      </c>
      <c r="C355" s="40" t="s">
        <v>14</v>
      </c>
      <c r="D355" s="40" t="s">
        <v>15</v>
      </c>
      <c r="E355" s="51">
        <v>14200</v>
      </c>
      <c r="F355" s="19">
        <v>3</v>
      </c>
      <c r="G355" s="40">
        <v>2008</v>
      </c>
      <c r="H355" s="40" t="s">
        <v>1199</v>
      </c>
      <c r="I355" s="40" t="s">
        <v>960</v>
      </c>
      <c r="J355" s="40" t="s">
        <v>1200</v>
      </c>
      <c r="K355" s="52" t="s">
        <v>1201</v>
      </c>
      <c r="L355" s="40" t="s">
        <v>1202</v>
      </c>
    </row>
    <row r="356" spans="1:12" ht="28">
      <c r="A356" s="49">
        <v>354</v>
      </c>
      <c r="B356" s="50" t="s">
        <v>1174</v>
      </c>
      <c r="C356" s="40" t="s">
        <v>14</v>
      </c>
      <c r="D356" s="40" t="s">
        <v>15</v>
      </c>
      <c r="E356" s="51">
        <v>14200</v>
      </c>
      <c r="F356" s="19">
        <v>2</v>
      </c>
      <c r="G356" s="40">
        <v>2013</v>
      </c>
      <c r="H356" s="40" t="s">
        <v>1203</v>
      </c>
      <c r="I356" s="40" t="s">
        <v>1204</v>
      </c>
      <c r="J356" s="40" t="s">
        <v>1205</v>
      </c>
      <c r="K356" s="52" t="s">
        <v>1206</v>
      </c>
    </row>
    <row r="357" spans="1:12" ht="28">
      <c r="A357" s="49">
        <v>355</v>
      </c>
      <c r="B357" s="50" t="s">
        <v>1174</v>
      </c>
      <c r="C357" s="40" t="s">
        <v>14</v>
      </c>
      <c r="D357" s="40" t="s">
        <v>15</v>
      </c>
      <c r="E357" s="51">
        <v>14200</v>
      </c>
      <c r="F357" s="19">
        <v>1</v>
      </c>
      <c r="G357" s="40">
        <v>2013</v>
      </c>
      <c r="H357" s="40" t="s">
        <v>1207</v>
      </c>
      <c r="I357" s="40" t="s">
        <v>25</v>
      </c>
      <c r="J357" s="40" t="s">
        <v>1208</v>
      </c>
      <c r="K357" s="52" t="s">
        <v>1209</v>
      </c>
    </row>
    <row r="358" spans="1:12" ht="28">
      <c r="A358" s="49">
        <v>356</v>
      </c>
      <c r="B358" s="50" t="s">
        <v>1174</v>
      </c>
      <c r="C358" s="40" t="s">
        <v>14</v>
      </c>
      <c r="D358" s="40" t="s">
        <v>15</v>
      </c>
      <c r="E358" s="51">
        <v>14200</v>
      </c>
      <c r="F358" s="19">
        <v>2</v>
      </c>
      <c r="G358" s="40">
        <v>2008</v>
      </c>
      <c r="H358" s="40" t="s">
        <v>1210</v>
      </c>
      <c r="I358" s="22" t="s">
        <v>90</v>
      </c>
      <c r="J358" s="40" t="s">
        <v>18</v>
      </c>
      <c r="K358" s="52" t="s">
        <v>1211</v>
      </c>
      <c r="L358" s="40" t="s">
        <v>1212</v>
      </c>
    </row>
    <row r="359" spans="1:12" customFormat="1" ht="28">
      <c r="A359" s="1">
        <v>357</v>
      </c>
      <c r="B359" s="2" t="s">
        <v>1174</v>
      </c>
      <c r="C359" s="4" t="s">
        <v>14</v>
      </c>
      <c r="D359" s="4" t="s">
        <v>15</v>
      </c>
      <c r="E359" s="5">
        <v>14200</v>
      </c>
      <c r="F359" s="3">
        <v>3</v>
      </c>
      <c r="G359" s="4">
        <v>2010</v>
      </c>
      <c r="H359" s="6" t="s">
        <v>1213</v>
      </c>
      <c r="I359" s="4" t="s">
        <v>76</v>
      </c>
      <c r="J359" s="4" t="s">
        <v>663</v>
      </c>
      <c r="K359" s="7" t="s">
        <v>1214</v>
      </c>
    </row>
    <row r="360" spans="1:12" customFormat="1" ht="28">
      <c r="A360" s="1">
        <v>358</v>
      </c>
      <c r="B360" s="2" t="s">
        <v>1174</v>
      </c>
      <c r="C360" s="4" t="s">
        <v>14</v>
      </c>
      <c r="D360" s="4" t="s">
        <v>15</v>
      </c>
      <c r="E360" s="5">
        <v>14200</v>
      </c>
      <c r="F360" s="3">
        <v>3</v>
      </c>
      <c r="G360" s="4">
        <v>2010</v>
      </c>
      <c r="H360" s="6" t="s">
        <v>1215</v>
      </c>
      <c r="I360" s="4" t="s">
        <v>1216</v>
      </c>
      <c r="J360" s="4" t="s">
        <v>1217</v>
      </c>
      <c r="K360" s="7" t="s">
        <v>1218</v>
      </c>
    </row>
    <row r="361" spans="1:12" customFormat="1" ht="28">
      <c r="A361" s="1">
        <v>359</v>
      </c>
      <c r="B361" s="2" t="s">
        <v>1174</v>
      </c>
      <c r="C361" s="4" t="s">
        <v>14</v>
      </c>
      <c r="D361" s="4" t="s">
        <v>15</v>
      </c>
      <c r="E361" s="5">
        <v>14200</v>
      </c>
      <c r="F361" s="3">
        <v>3</v>
      </c>
      <c r="G361" s="4">
        <v>2011</v>
      </c>
      <c r="H361" s="6" t="s">
        <v>1219</v>
      </c>
      <c r="I361" s="4" t="s">
        <v>76</v>
      </c>
      <c r="J361" s="4" t="s">
        <v>1220</v>
      </c>
      <c r="K361" s="7" t="s">
        <v>1221</v>
      </c>
    </row>
    <row r="362" spans="1:12" ht="28">
      <c r="A362" s="49">
        <v>360</v>
      </c>
      <c r="B362" s="50" t="s">
        <v>1174</v>
      </c>
      <c r="C362" s="40" t="s">
        <v>14</v>
      </c>
      <c r="D362" s="40" t="s">
        <v>15</v>
      </c>
      <c r="E362" s="51">
        <v>14200</v>
      </c>
      <c r="F362" s="19">
        <v>2</v>
      </c>
      <c r="G362" s="40">
        <v>2011</v>
      </c>
      <c r="H362" s="40" t="s">
        <v>1222</v>
      </c>
      <c r="I362" s="40" t="s">
        <v>103</v>
      </c>
      <c r="J362" s="40" t="s">
        <v>862</v>
      </c>
      <c r="K362" s="52" t="s">
        <v>1223</v>
      </c>
    </row>
    <row r="363" spans="1:12" ht="28">
      <c r="A363" s="49">
        <v>361</v>
      </c>
      <c r="B363" s="50" t="s">
        <v>1174</v>
      </c>
      <c r="C363" s="40" t="s">
        <v>14</v>
      </c>
      <c r="D363" s="40" t="s">
        <v>15</v>
      </c>
      <c r="E363" s="51">
        <v>14200</v>
      </c>
      <c r="F363" s="19">
        <v>2</v>
      </c>
      <c r="G363" s="40">
        <v>2008</v>
      </c>
      <c r="H363" s="40" t="s">
        <v>1224</v>
      </c>
      <c r="I363" s="40" t="s">
        <v>60</v>
      </c>
      <c r="J363" s="40" t="s">
        <v>1225</v>
      </c>
      <c r="K363" s="52" t="s">
        <v>1226</v>
      </c>
    </row>
    <row r="364" spans="1:12" ht="28">
      <c r="A364" s="49">
        <v>362</v>
      </c>
      <c r="B364" s="50" t="s">
        <v>1174</v>
      </c>
      <c r="C364" s="40" t="s">
        <v>14</v>
      </c>
      <c r="D364" s="40" t="s">
        <v>15</v>
      </c>
      <c r="E364" s="51">
        <v>14200</v>
      </c>
      <c r="F364" s="19">
        <v>1</v>
      </c>
      <c r="G364" s="40">
        <v>2010</v>
      </c>
      <c r="H364" s="40" t="s">
        <v>1227</v>
      </c>
      <c r="I364" s="40" t="s">
        <v>1228</v>
      </c>
      <c r="J364" s="40" t="s">
        <v>1229</v>
      </c>
      <c r="K364" s="52" t="s">
        <v>1230</v>
      </c>
    </row>
    <row r="365" spans="1:12" ht="28">
      <c r="A365" s="49">
        <v>363</v>
      </c>
      <c r="B365" s="50" t="s">
        <v>1174</v>
      </c>
      <c r="C365" s="40" t="s">
        <v>14</v>
      </c>
      <c r="D365" s="40" t="s">
        <v>15</v>
      </c>
      <c r="E365" s="51">
        <v>14200</v>
      </c>
      <c r="F365" s="19">
        <v>2</v>
      </c>
      <c r="G365" s="40">
        <v>2011</v>
      </c>
      <c r="H365" s="40" t="s">
        <v>1231</v>
      </c>
      <c r="I365" s="22" t="s">
        <v>134</v>
      </c>
      <c r="J365" s="40" t="s">
        <v>1232</v>
      </c>
      <c r="K365" s="52" t="s">
        <v>1233</v>
      </c>
    </row>
    <row r="366" spans="1:12" ht="14">
      <c r="A366" s="49">
        <v>364</v>
      </c>
      <c r="B366" s="50" t="s">
        <v>1234</v>
      </c>
      <c r="C366" s="40" t="s">
        <v>1235</v>
      </c>
      <c r="D366" s="40" t="s">
        <v>15</v>
      </c>
      <c r="E366" s="58" t="s">
        <v>1236</v>
      </c>
      <c r="F366" s="19">
        <v>2</v>
      </c>
      <c r="G366" s="40">
        <v>2012</v>
      </c>
      <c r="H366" s="40" t="s">
        <v>1237</v>
      </c>
      <c r="I366" s="40" t="s">
        <v>1238</v>
      </c>
      <c r="J366" s="40" t="s">
        <v>1239</v>
      </c>
      <c r="K366" s="52" t="s">
        <v>1240</v>
      </c>
    </row>
    <row r="367" spans="1:12" customFormat="1" ht="14">
      <c r="A367" s="1">
        <v>365</v>
      </c>
      <c r="B367" s="2" t="s">
        <v>1234</v>
      </c>
      <c r="C367" s="4" t="s">
        <v>1235</v>
      </c>
      <c r="D367" s="4" t="s">
        <v>15</v>
      </c>
      <c r="E367" s="13" t="s">
        <v>1236</v>
      </c>
      <c r="F367" s="3">
        <v>3</v>
      </c>
      <c r="G367" s="4">
        <v>2014</v>
      </c>
      <c r="H367" s="6" t="s">
        <v>1241</v>
      </c>
      <c r="I367" s="4" t="s">
        <v>1242</v>
      </c>
      <c r="J367" s="4" t="s">
        <v>1243</v>
      </c>
      <c r="K367" s="7" t="s">
        <v>1244</v>
      </c>
    </row>
    <row r="368" spans="1:12" ht="14">
      <c r="A368" s="49">
        <v>366</v>
      </c>
      <c r="B368" s="50" t="s">
        <v>1234</v>
      </c>
      <c r="C368" s="40" t="s">
        <v>1235</v>
      </c>
      <c r="D368" s="40" t="s">
        <v>15</v>
      </c>
      <c r="E368" s="58" t="s">
        <v>1236</v>
      </c>
      <c r="F368" s="19">
        <v>2</v>
      </c>
      <c r="G368" s="40">
        <v>2014</v>
      </c>
      <c r="H368" s="40" t="s">
        <v>1245</v>
      </c>
      <c r="I368" s="40" t="s">
        <v>1238</v>
      </c>
      <c r="J368" s="40" t="s">
        <v>1246</v>
      </c>
      <c r="K368" s="52" t="s">
        <v>1247</v>
      </c>
    </row>
    <row r="369" spans="1:11" customFormat="1" ht="14">
      <c r="A369" s="1">
        <v>367</v>
      </c>
      <c r="B369" s="2" t="s">
        <v>1234</v>
      </c>
      <c r="C369" s="4" t="s">
        <v>1235</v>
      </c>
      <c r="D369" s="4" t="s">
        <v>15</v>
      </c>
      <c r="E369" s="13" t="s">
        <v>1236</v>
      </c>
      <c r="F369" s="3">
        <v>3</v>
      </c>
      <c r="G369" s="4">
        <v>2015</v>
      </c>
      <c r="H369" s="6" t="s">
        <v>1248</v>
      </c>
      <c r="I369" s="4" t="s">
        <v>1238</v>
      </c>
      <c r="J369" s="4" t="s">
        <v>1249</v>
      </c>
      <c r="K369" s="7" t="s">
        <v>1250</v>
      </c>
    </row>
    <row r="370" spans="1:11" customFormat="1" ht="14">
      <c r="A370" s="1">
        <v>368</v>
      </c>
      <c r="B370" s="2" t="s">
        <v>1234</v>
      </c>
      <c r="C370" s="4" t="s">
        <v>1235</v>
      </c>
      <c r="D370" s="4" t="s">
        <v>15</v>
      </c>
      <c r="E370" s="13" t="s">
        <v>1236</v>
      </c>
      <c r="F370" s="3">
        <v>3</v>
      </c>
      <c r="G370" s="4">
        <v>2014</v>
      </c>
      <c r="H370" s="6" t="s">
        <v>1251</v>
      </c>
      <c r="I370" s="4" t="s">
        <v>1238</v>
      </c>
      <c r="J370" s="4" t="s">
        <v>1249</v>
      </c>
      <c r="K370" s="7" t="s">
        <v>1252</v>
      </c>
    </row>
    <row r="371" spans="1:11" ht="14">
      <c r="A371" s="49">
        <v>369</v>
      </c>
      <c r="B371" s="50" t="s">
        <v>1234</v>
      </c>
      <c r="C371" s="40" t="s">
        <v>1235</v>
      </c>
      <c r="D371" s="40" t="s">
        <v>15</v>
      </c>
      <c r="E371" s="58" t="s">
        <v>1236</v>
      </c>
      <c r="F371" s="19">
        <v>1</v>
      </c>
      <c r="G371" s="40">
        <v>2015</v>
      </c>
      <c r="H371" s="40" t="s">
        <v>1253</v>
      </c>
      <c r="I371" s="40" t="s">
        <v>1238</v>
      </c>
      <c r="J371" s="40" t="s">
        <v>1249</v>
      </c>
      <c r="K371" s="52" t="s">
        <v>1254</v>
      </c>
    </row>
    <row r="372" spans="1:11" customFormat="1" ht="14">
      <c r="A372" s="1">
        <v>370</v>
      </c>
      <c r="B372" s="2" t="s">
        <v>1234</v>
      </c>
      <c r="C372" s="4" t="s">
        <v>1235</v>
      </c>
      <c r="D372" s="4" t="s">
        <v>15</v>
      </c>
      <c r="E372" s="13" t="s">
        <v>1236</v>
      </c>
      <c r="F372" s="3">
        <v>4</v>
      </c>
      <c r="G372" s="4">
        <v>2014</v>
      </c>
      <c r="H372" s="6" t="s">
        <v>1255</v>
      </c>
      <c r="I372" s="4" t="s">
        <v>1238</v>
      </c>
      <c r="J372" s="4" t="s">
        <v>1256</v>
      </c>
      <c r="K372" s="7" t="s">
        <v>1257</v>
      </c>
    </row>
    <row r="373" spans="1:11" customFormat="1" ht="14">
      <c r="A373" s="1">
        <v>371</v>
      </c>
      <c r="B373" s="2" t="s">
        <v>1234</v>
      </c>
      <c r="C373" s="4" t="s">
        <v>1235</v>
      </c>
      <c r="D373" s="4" t="s">
        <v>15</v>
      </c>
      <c r="E373" s="13" t="s">
        <v>1236</v>
      </c>
      <c r="F373" s="3">
        <v>3</v>
      </c>
      <c r="G373" s="4">
        <v>2013</v>
      </c>
      <c r="H373" s="6" t="s">
        <v>1258</v>
      </c>
      <c r="I373" s="4" t="s">
        <v>1238</v>
      </c>
      <c r="J373" s="4" t="s">
        <v>1259</v>
      </c>
      <c r="K373" s="7" t="s">
        <v>1260</v>
      </c>
    </row>
    <row r="374" spans="1:11" ht="14">
      <c r="A374" s="49">
        <v>372</v>
      </c>
      <c r="B374" s="50" t="s">
        <v>1234</v>
      </c>
      <c r="C374" s="40" t="s">
        <v>1235</v>
      </c>
      <c r="D374" s="40" t="s">
        <v>15</v>
      </c>
      <c r="E374" s="58" t="s">
        <v>1236</v>
      </c>
      <c r="F374" s="19">
        <v>2</v>
      </c>
      <c r="G374" s="40">
        <v>2011</v>
      </c>
      <c r="H374" s="40" t="s">
        <v>1261</v>
      </c>
      <c r="I374" s="40" t="s">
        <v>1238</v>
      </c>
      <c r="J374" s="40" t="s">
        <v>1249</v>
      </c>
      <c r="K374" s="52" t="s">
        <v>1262</v>
      </c>
    </row>
    <row r="375" spans="1:11" customFormat="1" ht="14">
      <c r="A375" s="1">
        <v>373</v>
      </c>
      <c r="B375" s="2" t="s">
        <v>1234</v>
      </c>
      <c r="C375" s="4" t="s">
        <v>1235</v>
      </c>
      <c r="D375" s="4" t="s">
        <v>15</v>
      </c>
      <c r="E375" s="13" t="s">
        <v>1236</v>
      </c>
      <c r="F375" s="3">
        <v>3</v>
      </c>
      <c r="G375" s="4">
        <v>2012</v>
      </c>
      <c r="H375" s="6" t="s">
        <v>1263</v>
      </c>
      <c r="I375" s="4" t="s">
        <v>1238</v>
      </c>
      <c r="J375" s="4" t="s">
        <v>1264</v>
      </c>
      <c r="K375" s="7" t="s">
        <v>1265</v>
      </c>
    </row>
    <row r="376" spans="1:11" ht="14">
      <c r="A376" s="49">
        <v>374</v>
      </c>
      <c r="B376" s="50" t="s">
        <v>1234</v>
      </c>
      <c r="C376" s="40" t="s">
        <v>1235</v>
      </c>
      <c r="D376" s="40" t="s">
        <v>15</v>
      </c>
      <c r="E376" s="58" t="s">
        <v>1236</v>
      </c>
      <c r="F376" s="19">
        <v>1</v>
      </c>
      <c r="G376" s="40">
        <v>2012</v>
      </c>
      <c r="H376" s="40" t="s">
        <v>1266</v>
      </c>
      <c r="I376" s="40" t="s">
        <v>1238</v>
      </c>
      <c r="J376" s="40" t="s">
        <v>1267</v>
      </c>
      <c r="K376" s="52" t="s">
        <v>1268</v>
      </c>
    </row>
    <row r="377" spans="1:11" customFormat="1" ht="14">
      <c r="A377" s="1">
        <v>375</v>
      </c>
      <c r="B377" s="2" t="s">
        <v>1234</v>
      </c>
      <c r="C377" s="4" t="s">
        <v>1235</v>
      </c>
      <c r="D377" s="4" t="s">
        <v>15</v>
      </c>
      <c r="E377" s="13" t="s">
        <v>1236</v>
      </c>
      <c r="F377" s="3">
        <v>3</v>
      </c>
      <c r="G377" s="4">
        <v>2010</v>
      </c>
      <c r="H377" s="6" t="s">
        <v>1269</v>
      </c>
      <c r="I377" s="4" t="s">
        <v>1238</v>
      </c>
      <c r="J377" s="4" t="s">
        <v>1246</v>
      </c>
      <c r="K377" s="7" t="s">
        <v>1270</v>
      </c>
    </row>
    <row r="378" spans="1:11" ht="14">
      <c r="A378" s="49">
        <v>376</v>
      </c>
      <c r="B378" s="50" t="s">
        <v>1234</v>
      </c>
      <c r="C378" s="40" t="s">
        <v>1235</v>
      </c>
      <c r="D378" s="40" t="s">
        <v>15</v>
      </c>
      <c r="E378" s="58" t="s">
        <v>1236</v>
      </c>
      <c r="F378" s="19">
        <v>3</v>
      </c>
      <c r="G378" s="40">
        <v>2015</v>
      </c>
      <c r="H378" s="40" t="s">
        <v>1271</v>
      </c>
      <c r="I378" s="40" t="s">
        <v>1238</v>
      </c>
      <c r="J378" s="40" t="s">
        <v>1272</v>
      </c>
      <c r="K378" s="52" t="s">
        <v>1273</v>
      </c>
    </row>
    <row r="379" spans="1:11" ht="14">
      <c r="A379" s="49">
        <v>377</v>
      </c>
      <c r="B379" s="50" t="s">
        <v>1234</v>
      </c>
      <c r="C379" s="40" t="s">
        <v>1235</v>
      </c>
      <c r="D379" s="40" t="s">
        <v>15</v>
      </c>
      <c r="E379" s="58" t="s">
        <v>1236</v>
      </c>
      <c r="F379" s="19">
        <v>1</v>
      </c>
      <c r="G379" s="40">
        <v>2011</v>
      </c>
      <c r="H379" s="40" t="s">
        <v>1274</v>
      </c>
      <c r="I379" s="40" t="s">
        <v>1238</v>
      </c>
      <c r="J379" s="40" t="s">
        <v>1275</v>
      </c>
      <c r="K379" s="52" t="s">
        <v>1276</v>
      </c>
    </row>
    <row r="380" spans="1:11" ht="14">
      <c r="A380" s="49">
        <v>378</v>
      </c>
      <c r="B380" s="50" t="s">
        <v>1234</v>
      </c>
      <c r="C380" s="40" t="s">
        <v>1235</v>
      </c>
      <c r="D380" s="40" t="s">
        <v>15</v>
      </c>
      <c r="E380" s="58" t="s">
        <v>1236</v>
      </c>
      <c r="F380" s="19">
        <v>1</v>
      </c>
      <c r="G380" s="40">
        <v>2009</v>
      </c>
      <c r="H380" s="40" t="s">
        <v>1277</v>
      </c>
      <c r="I380" s="40" t="s">
        <v>1238</v>
      </c>
      <c r="J380" s="40" t="s">
        <v>1275</v>
      </c>
      <c r="K380" s="52" t="s">
        <v>1278</v>
      </c>
    </row>
    <row r="381" spans="1:11" customFormat="1" ht="14">
      <c r="A381" s="1">
        <v>379</v>
      </c>
      <c r="B381" s="2" t="s">
        <v>1234</v>
      </c>
      <c r="C381" s="4" t="s">
        <v>1235</v>
      </c>
      <c r="D381" s="4" t="s">
        <v>15</v>
      </c>
      <c r="E381" s="13" t="s">
        <v>1236</v>
      </c>
      <c r="F381" s="3">
        <v>3</v>
      </c>
      <c r="G381" s="4">
        <v>2014</v>
      </c>
      <c r="H381" s="6" t="s">
        <v>1279</v>
      </c>
      <c r="I381" s="4" t="s">
        <v>1280</v>
      </c>
      <c r="J381" s="4" t="s">
        <v>1281</v>
      </c>
      <c r="K381" s="7" t="s">
        <v>1282</v>
      </c>
    </row>
    <row r="382" spans="1:11" customFormat="1" ht="14">
      <c r="A382" s="1">
        <v>380</v>
      </c>
      <c r="B382" s="2" t="s">
        <v>1234</v>
      </c>
      <c r="C382" s="4" t="s">
        <v>1235</v>
      </c>
      <c r="D382" s="4" t="s">
        <v>15</v>
      </c>
      <c r="E382" s="13" t="s">
        <v>1236</v>
      </c>
      <c r="F382" s="3">
        <v>3</v>
      </c>
      <c r="G382" s="4">
        <v>2014</v>
      </c>
      <c r="H382" s="6" t="s">
        <v>1283</v>
      </c>
      <c r="I382" s="4" t="s">
        <v>1238</v>
      </c>
      <c r="J382" s="4" t="s">
        <v>1148</v>
      </c>
      <c r="K382" s="7" t="s">
        <v>1284</v>
      </c>
    </row>
    <row r="383" spans="1:11" ht="14">
      <c r="A383" s="49">
        <v>381</v>
      </c>
      <c r="B383" s="50" t="s">
        <v>1234</v>
      </c>
      <c r="C383" s="40" t="s">
        <v>1235</v>
      </c>
      <c r="D383" s="40" t="s">
        <v>15</v>
      </c>
      <c r="E383" s="58" t="s">
        <v>1236</v>
      </c>
      <c r="F383" s="19">
        <v>1</v>
      </c>
      <c r="G383" s="40">
        <v>2011</v>
      </c>
      <c r="H383" s="40" t="s">
        <v>1285</v>
      </c>
      <c r="I383" s="40" t="s">
        <v>1238</v>
      </c>
      <c r="J383" s="40" t="s">
        <v>1286</v>
      </c>
      <c r="K383" s="52" t="s">
        <v>1287</v>
      </c>
    </row>
    <row r="384" spans="1:11" customFormat="1" ht="14">
      <c r="A384" s="1">
        <v>382</v>
      </c>
      <c r="B384" s="2" t="s">
        <v>1234</v>
      </c>
      <c r="C384" s="4" t="s">
        <v>1235</v>
      </c>
      <c r="D384" s="4" t="s">
        <v>15</v>
      </c>
      <c r="E384" s="13" t="s">
        <v>1236</v>
      </c>
      <c r="F384" s="3">
        <v>3</v>
      </c>
      <c r="G384" s="4">
        <v>2005</v>
      </c>
      <c r="H384" s="6" t="s">
        <v>1288</v>
      </c>
      <c r="I384" s="4" t="s">
        <v>1238</v>
      </c>
      <c r="J384" s="4" t="s">
        <v>1275</v>
      </c>
      <c r="K384" s="7" t="s">
        <v>1289</v>
      </c>
    </row>
    <row r="385" spans="1:12" customFormat="1" ht="14">
      <c r="A385" s="1">
        <v>383</v>
      </c>
      <c r="B385" s="2" t="s">
        <v>1234</v>
      </c>
      <c r="C385" s="4" t="s">
        <v>1235</v>
      </c>
      <c r="D385" s="4" t="s">
        <v>15</v>
      </c>
      <c r="E385" s="13" t="s">
        <v>1236</v>
      </c>
      <c r="F385" s="3">
        <v>3</v>
      </c>
      <c r="G385" s="4">
        <v>2010</v>
      </c>
      <c r="H385" s="6" t="s">
        <v>1290</v>
      </c>
      <c r="I385" s="4" t="s">
        <v>1238</v>
      </c>
      <c r="J385" s="4" t="s">
        <v>1291</v>
      </c>
      <c r="K385" s="7" t="s">
        <v>1292</v>
      </c>
    </row>
    <row r="386" spans="1:12" customFormat="1" ht="14">
      <c r="A386" s="1">
        <v>384</v>
      </c>
      <c r="B386" s="2" t="s">
        <v>1234</v>
      </c>
      <c r="C386" s="4" t="s">
        <v>1235</v>
      </c>
      <c r="D386" s="4" t="s">
        <v>15</v>
      </c>
      <c r="E386" s="13" t="s">
        <v>1236</v>
      </c>
      <c r="F386" s="3">
        <v>3</v>
      </c>
      <c r="G386" s="4">
        <v>2005</v>
      </c>
      <c r="H386" s="6" t="s">
        <v>1293</v>
      </c>
      <c r="I386" s="4" t="s">
        <v>1238</v>
      </c>
      <c r="J386" s="4" t="s">
        <v>1291</v>
      </c>
      <c r="K386" s="7" t="s">
        <v>1294</v>
      </c>
    </row>
    <row r="387" spans="1:12" customFormat="1" ht="14">
      <c r="A387" s="1">
        <v>385</v>
      </c>
      <c r="B387" s="2" t="s">
        <v>1234</v>
      </c>
      <c r="C387" s="4" t="s">
        <v>1235</v>
      </c>
      <c r="D387" s="4" t="s">
        <v>15</v>
      </c>
      <c r="E387" s="13" t="s">
        <v>1236</v>
      </c>
      <c r="F387" s="3">
        <v>3</v>
      </c>
      <c r="G387" s="4">
        <v>2006</v>
      </c>
      <c r="H387" s="6" t="s">
        <v>1295</v>
      </c>
      <c r="I387" s="4" t="s">
        <v>1238</v>
      </c>
      <c r="J387" s="4" t="s">
        <v>1249</v>
      </c>
      <c r="K387" s="7" t="s">
        <v>1296</v>
      </c>
    </row>
    <row r="388" spans="1:12" ht="14">
      <c r="A388" s="49">
        <v>386</v>
      </c>
      <c r="B388" s="50" t="s">
        <v>1234</v>
      </c>
      <c r="C388" s="40" t="s">
        <v>1235</v>
      </c>
      <c r="D388" s="40" t="s">
        <v>15</v>
      </c>
      <c r="E388" s="58" t="s">
        <v>1236</v>
      </c>
      <c r="F388" s="19">
        <v>1</v>
      </c>
      <c r="G388" s="40">
        <v>2014</v>
      </c>
      <c r="H388" s="40" t="s">
        <v>1297</v>
      </c>
      <c r="I388" s="40" t="s">
        <v>1238</v>
      </c>
      <c r="J388" s="40" t="s">
        <v>1298</v>
      </c>
      <c r="K388" s="52" t="s">
        <v>1299</v>
      </c>
    </row>
    <row r="389" spans="1:12" ht="14">
      <c r="A389" s="49">
        <v>387</v>
      </c>
      <c r="B389" s="50" t="s">
        <v>1234</v>
      </c>
      <c r="C389" s="40" t="s">
        <v>1235</v>
      </c>
      <c r="D389" s="40" t="s">
        <v>15</v>
      </c>
      <c r="E389" s="58" t="s">
        <v>1236</v>
      </c>
      <c r="F389" s="19">
        <v>1</v>
      </c>
      <c r="G389" s="40">
        <v>2013</v>
      </c>
      <c r="H389" s="40" t="s">
        <v>1300</v>
      </c>
      <c r="I389" s="40" t="s">
        <v>1301</v>
      </c>
      <c r="J389" s="40" t="s">
        <v>1148</v>
      </c>
      <c r="K389" s="52" t="s">
        <v>1302</v>
      </c>
    </row>
    <row r="390" spans="1:12" customFormat="1" ht="14">
      <c r="A390" s="1">
        <v>388</v>
      </c>
      <c r="B390" s="2" t="s">
        <v>1234</v>
      </c>
      <c r="C390" s="4" t="s">
        <v>1235</v>
      </c>
      <c r="D390" s="4" t="s">
        <v>15</v>
      </c>
      <c r="E390" s="13" t="s">
        <v>1236</v>
      </c>
      <c r="F390" s="3">
        <v>3</v>
      </c>
      <c r="G390" s="4">
        <v>2011</v>
      </c>
      <c r="H390" s="6" t="s">
        <v>1303</v>
      </c>
      <c r="I390" s="4" t="s">
        <v>1238</v>
      </c>
      <c r="J390" s="4" t="s">
        <v>1275</v>
      </c>
      <c r="K390" s="7" t="s">
        <v>1304</v>
      </c>
    </row>
    <row r="391" spans="1:12" customFormat="1" ht="14">
      <c r="A391" s="1">
        <v>389</v>
      </c>
      <c r="B391" s="2" t="s">
        <v>1234</v>
      </c>
      <c r="C391" s="4" t="s">
        <v>1235</v>
      </c>
      <c r="D391" s="4" t="s">
        <v>15</v>
      </c>
      <c r="E391" s="13" t="s">
        <v>1236</v>
      </c>
      <c r="F391" s="3">
        <v>3</v>
      </c>
      <c r="G391" s="4">
        <v>2012</v>
      </c>
      <c r="H391" s="6" t="s">
        <v>1305</v>
      </c>
      <c r="I391" s="4" t="s">
        <v>1238</v>
      </c>
      <c r="J391" s="4" t="s">
        <v>1306</v>
      </c>
      <c r="K391" s="8" t="s">
        <v>1307</v>
      </c>
    </row>
    <row r="392" spans="1:12" customFormat="1" ht="14">
      <c r="A392" s="1">
        <v>390</v>
      </c>
      <c r="B392" s="2" t="s">
        <v>1308</v>
      </c>
      <c r="C392" s="13" t="s">
        <v>1236</v>
      </c>
      <c r="D392" s="4" t="s">
        <v>374</v>
      </c>
      <c r="E392" s="13" t="s">
        <v>1236</v>
      </c>
      <c r="F392" s="3">
        <v>3</v>
      </c>
      <c r="G392" s="4">
        <v>2012</v>
      </c>
      <c r="H392" s="4" t="s">
        <v>1309</v>
      </c>
      <c r="I392" s="4" t="s">
        <v>1310</v>
      </c>
      <c r="J392" s="4" t="s">
        <v>1311</v>
      </c>
      <c r="K392" s="4" t="s">
        <v>1312</v>
      </c>
      <c r="L392" s="4"/>
    </row>
    <row r="393" spans="1:12" customFormat="1" ht="14">
      <c r="A393" s="1">
        <v>391</v>
      </c>
      <c r="B393" s="2" t="s">
        <v>1308</v>
      </c>
      <c r="C393" s="13" t="s">
        <v>1236</v>
      </c>
      <c r="D393" s="4" t="s">
        <v>374</v>
      </c>
      <c r="E393" s="13" t="s">
        <v>1236</v>
      </c>
      <c r="F393" s="3">
        <v>3</v>
      </c>
      <c r="G393" s="4">
        <v>2015</v>
      </c>
      <c r="H393" s="6" t="s">
        <v>1313</v>
      </c>
      <c r="I393" s="4" t="s">
        <v>1314</v>
      </c>
      <c r="J393" s="4" t="s">
        <v>1315</v>
      </c>
      <c r="K393" s="7" t="s">
        <v>1316</v>
      </c>
      <c r="L393" s="4"/>
    </row>
    <row r="394" spans="1:12" customFormat="1" ht="14">
      <c r="A394" s="1">
        <v>392</v>
      </c>
      <c r="B394" s="2" t="s">
        <v>1308</v>
      </c>
      <c r="C394" s="13" t="s">
        <v>1236</v>
      </c>
      <c r="D394" s="4" t="s">
        <v>374</v>
      </c>
      <c r="E394" s="13" t="s">
        <v>1236</v>
      </c>
      <c r="F394" s="3">
        <v>3</v>
      </c>
      <c r="G394" s="4">
        <v>2012</v>
      </c>
      <c r="H394" s="6" t="s">
        <v>1317</v>
      </c>
      <c r="I394" s="4" t="s">
        <v>1318</v>
      </c>
      <c r="J394" s="4" t="s">
        <v>1319</v>
      </c>
      <c r="K394" s="7" t="s">
        <v>1320</v>
      </c>
      <c r="L394" s="4"/>
    </row>
    <row r="395" spans="1:12" customFormat="1" ht="14">
      <c r="A395" s="1">
        <v>393</v>
      </c>
      <c r="B395" s="2" t="s">
        <v>1308</v>
      </c>
      <c r="C395" s="13" t="s">
        <v>1236</v>
      </c>
      <c r="D395" s="4" t="s">
        <v>374</v>
      </c>
      <c r="E395" s="13" t="s">
        <v>1236</v>
      </c>
      <c r="F395" s="3">
        <v>3</v>
      </c>
      <c r="G395" s="4">
        <v>2014</v>
      </c>
      <c r="H395" s="6" t="s">
        <v>1321</v>
      </c>
      <c r="I395" s="4" t="s">
        <v>1322</v>
      </c>
      <c r="J395" s="4" t="s">
        <v>1323</v>
      </c>
      <c r="K395" s="4" t="s">
        <v>1324</v>
      </c>
      <c r="L395" s="4"/>
    </row>
    <row r="396" spans="1:12" customFormat="1" ht="14">
      <c r="A396" s="1">
        <v>394</v>
      </c>
      <c r="B396" s="2" t="s">
        <v>1308</v>
      </c>
      <c r="C396" s="13" t="s">
        <v>1236</v>
      </c>
      <c r="D396" s="4" t="s">
        <v>374</v>
      </c>
      <c r="E396" s="13" t="s">
        <v>1236</v>
      </c>
      <c r="F396" s="3">
        <v>3</v>
      </c>
      <c r="G396" s="4">
        <v>2013</v>
      </c>
      <c r="H396" s="6" t="s">
        <v>1325</v>
      </c>
      <c r="I396" s="4" t="s">
        <v>1326</v>
      </c>
      <c r="J396" s="4" t="s">
        <v>1327</v>
      </c>
      <c r="K396" s="4" t="s">
        <v>1328</v>
      </c>
      <c r="L396" s="4"/>
    </row>
    <row r="397" spans="1:12" customFormat="1" ht="14">
      <c r="A397" s="1">
        <v>395</v>
      </c>
      <c r="B397" s="2" t="s">
        <v>1308</v>
      </c>
      <c r="C397" s="13" t="s">
        <v>1236</v>
      </c>
      <c r="D397" s="4" t="s">
        <v>374</v>
      </c>
      <c r="E397" s="13" t="s">
        <v>1236</v>
      </c>
      <c r="F397" s="3">
        <v>3</v>
      </c>
      <c r="G397" s="4">
        <v>2015</v>
      </c>
      <c r="H397" s="6" t="s">
        <v>1329</v>
      </c>
      <c r="I397" s="4" t="s">
        <v>1330</v>
      </c>
      <c r="J397" s="4" t="s">
        <v>1327</v>
      </c>
      <c r="K397" s="7" t="s">
        <v>1331</v>
      </c>
      <c r="L397" s="4"/>
    </row>
    <row r="398" spans="1:12" ht="14">
      <c r="A398" s="49">
        <v>396</v>
      </c>
      <c r="B398" s="50" t="s">
        <v>1308</v>
      </c>
      <c r="C398" s="58" t="s">
        <v>1236</v>
      </c>
      <c r="D398" s="40" t="s">
        <v>374</v>
      </c>
      <c r="E398" s="58" t="s">
        <v>1236</v>
      </c>
      <c r="F398" s="19">
        <v>2</v>
      </c>
      <c r="G398" s="40">
        <v>2015</v>
      </c>
      <c r="H398" s="40" t="s">
        <v>1332</v>
      </c>
      <c r="I398" s="40" t="s">
        <v>1333</v>
      </c>
      <c r="J398" s="40" t="s">
        <v>1334</v>
      </c>
      <c r="K398" s="52" t="s">
        <v>1335</v>
      </c>
      <c r="L398" s="40"/>
    </row>
    <row r="399" spans="1:12" ht="14">
      <c r="A399" s="49">
        <v>397</v>
      </c>
      <c r="B399" s="50" t="s">
        <v>1308</v>
      </c>
      <c r="C399" s="58" t="s">
        <v>1236</v>
      </c>
      <c r="D399" s="40" t="s">
        <v>374</v>
      </c>
      <c r="E399" s="58" t="s">
        <v>1236</v>
      </c>
      <c r="F399" s="19">
        <v>2</v>
      </c>
      <c r="G399" s="40">
        <v>2015</v>
      </c>
      <c r="H399" s="40" t="s">
        <v>1336</v>
      </c>
      <c r="I399" s="40" t="s">
        <v>402</v>
      </c>
      <c r="J399" s="40" t="s">
        <v>1337</v>
      </c>
      <c r="K399" s="52" t="s">
        <v>1338</v>
      </c>
      <c r="L399" s="40"/>
    </row>
    <row r="400" spans="1:12" customFormat="1" ht="14">
      <c r="A400" s="1">
        <v>398</v>
      </c>
      <c r="B400" s="2" t="s">
        <v>1308</v>
      </c>
      <c r="C400" s="13" t="s">
        <v>1236</v>
      </c>
      <c r="D400" s="4" t="s">
        <v>374</v>
      </c>
      <c r="E400" s="13" t="s">
        <v>1236</v>
      </c>
      <c r="F400" s="3">
        <v>3</v>
      </c>
      <c r="G400" s="4">
        <v>2015</v>
      </c>
      <c r="H400" s="6" t="s">
        <v>1339</v>
      </c>
      <c r="I400" s="4" t="s">
        <v>1340</v>
      </c>
      <c r="J400" s="4" t="s">
        <v>1341</v>
      </c>
      <c r="K400" s="7" t="s">
        <v>1342</v>
      </c>
      <c r="L400" s="4"/>
    </row>
    <row r="401" spans="1:12" customFormat="1" ht="14">
      <c r="A401" s="1">
        <v>399</v>
      </c>
      <c r="B401" s="2" t="s">
        <v>1308</v>
      </c>
      <c r="C401" s="13" t="s">
        <v>1236</v>
      </c>
      <c r="D401" s="4" t="s">
        <v>374</v>
      </c>
      <c r="E401" s="13" t="s">
        <v>1236</v>
      </c>
      <c r="F401" s="3">
        <v>3</v>
      </c>
      <c r="G401" s="4">
        <v>2008</v>
      </c>
      <c r="H401" s="4" t="s">
        <v>1343</v>
      </c>
      <c r="I401" s="4" t="s">
        <v>1344</v>
      </c>
      <c r="J401" s="4" t="s">
        <v>1345</v>
      </c>
      <c r="K401" s="4" t="s">
        <v>1346</v>
      </c>
      <c r="L401" s="4"/>
    </row>
    <row r="402" spans="1:12" ht="14">
      <c r="A402" s="49">
        <v>400</v>
      </c>
      <c r="B402" s="50" t="s">
        <v>1308</v>
      </c>
      <c r="C402" s="58" t="s">
        <v>1236</v>
      </c>
      <c r="D402" s="40" t="s">
        <v>374</v>
      </c>
      <c r="E402" s="58" t="s">
        <v>1236</v>
      </c>
      <c r="F402" s="19">
        <v>1</v>
      </c>
      <c r="G402" s="40">
        <v>2013</v>
      </c>
      <c r="H402" s="40" t="s">
        <v>1347</v>
      </c>
      <c r="I402" s="40" t="s">
        <v>1348</v>
      </c>
      <c r="J402" s="40" t="s">
        <v>608</v>
      </c>
      <c r="K402" s="52" t="s">
        <v>1349</v>
      </c>
      <c r="L402" s="40"/>
    </row>
    <row r="403" spans="1:12" ht="14">
      <c r="A403" s="49">
        <v>401</v>
      </c>
      <c r="B403" s="50" t="s">
        <v>1308</v>
      </c>
      <c r="C403" s="58" t="s">
        <v>1236</v>
      </c>
      <c r="D403" s="40" t="s">
        <v>374</v>
      </c>
      <c r="E403" s="58" t="s">
        <v>1236</v>
      </c>
      <c r="F403" s="19">
        <v>2</v>
      </c>
      <c r="G403" s="40">
        <v>2014</v>
      </c>
      <c r="H403" s="40" t="s">
        <v>1350</v>
      </c>
      <c r="I403" s="40" t="s">
        <v>1351</v>
      </c>
      <c r="J403" s="40" t="s">
        <v>1352</v>
      </c>
      <c r="K403" s="52" t="s">
        <v>1353</v>
      </c>
      <c r="L403" s="40"/>
    </row>
    <row r="404" spans="1:12" ht="14">
      <c r="A404" s="49">
        <v>402</v>
      </c>
      <c r="B404" s="50" t="s">
        <v>1308</v>
      </c>
      <c r="C404" s="58" t="s">
        <v>1236</v>
      </c>
      <c r="D404" s="40" t="s">
        <v>374</v>
      </c>
      <c r="E404" s="58" t="s">
        <v>1236</v>
      </c>
      <c r="F404" s="19">
        <v>1</v>
      </c>
      <c r="G404" s="40">
        <v>2015</v>
      </c>
      <c r="H404" s="40" t="s">
        <v>1354</v>
      </c>
      <c r="I404" s="40" t="s">
        <v>1355</v>
      </c>
      <c r="J404" s="40" t="s">
        <v>1356</v>
      </c>
      <c r="K404" s="40" t="s">
        <v>1357</v>
      </c>
      <c r="L404" s="40"/>
    </row>
    <row r="405" spans="1:12" ht="14">
      <c r="A405" s="49">
        <v>403</v>
      </c>
      <c r="B405" s="50" t="s">
        <v>1308</v>
      </c>
      <c r="C405" s="58" t="s">
        <v>1236</v>
      </c>
      <c r="D405" s="40" t="s">
        <v>374</v>
      </c>
      <c r="E405" s="58" t="s">
        <v>1236</v>
      </c>
      <c r="F405" s="19">
        <v>1</v>
      </c>
      <c r="G405" s="40">
        <v>2015</v>
      </c>
      <c r="H405" s="40" t="s">
        <v>1358</v>
      </c>
      <c r="I405" s="40" t="s">
        <v>1355</v>
      </c>
      <c r="J405" s="40" t="s">
        <v>1356</v>
      </c>
      <c r="K405" s="40" t="s">
        <v>1357</v>
      </c>
      <c r="L405" s="40"/>
    </row>
    <row r="406" spans="1:12" ht="14">
      <c r="A406" s="49">
        <v>404</v>
      </c>
      <c r="B406" s="50" t="s">
        <v>1308</v>
      </c>
      <c r="C406" s="58" t="s">
        <v>1236</v>
      </c>
      <c r="D406" s="40" t="s">
        <v>374</v>
      </c>
      <c r="E406" s="58" t="s">
        <v>1236</v>
      </c>
      <c r="F406" s="19">
        <v>1</v>
      </c>
      <c r="G406" s="40">
        <v>2012</v>
      </c>
      <c r="H406" s="40" t="s">
        <v>1359</v>
      </c>
      <c r="I406" s="40" t="s">
        <v>1360</v>
      </c>
      <c r="J406" s="40" t="s">
        <v>1361</v>
      </c>
      <c r="K406" s="52" t="s">
        <v>1362</v>
      </c>
      <c r="L406" s="40"/>
    </row>
    <row r="407" spans="1:12" ht="14">
      <c r="A407" s="49">
        <v>405</v>
      </c>
      <c r="B407" s="50" t="s">
        <v>1308</v>
      </c>
      <c r="C407" s="58" t="s">
        <v>1236</v>
      </c>
      <c r="D407" s="40" t="s">
        <v>374</v>
      </c>
      <c r="E407" s="58" t="s">
        <v>1236</v>
      </c>
      <c r="F407" s="19">
        <v>2</v>
      </c>
      <c r="G407" s="40">
        <v>2011</v>
      </c>
      <c r="H407" s="40" t="s">
        <v>1363</v>
      </c>
      <c r="I407" s="40" t="s">
        <v>1364</v>
      </c>
      <c r="J407" s="40" t="s">
        <v>1365</v>
      </c>
      <c r="K407" s="52" t="s">
        <v>1276</v>
      </c>
      <c r="L407" s="40"/>
    </row>
    <row r="408" spans="1:12" ht="14">
      <c r="A408" s="49">
        <v>406</v>
      </c>
      <c r="B408" s="50" t="s">
        <v>1308</v>
      </c>
      <c r="C408" s="58" t="s">
        <v>1236</v>
      </c>
      <c r="D408" s="40" t="s">
        <v>374</v>
      </c>
      <c r="E408" s="58" t="s">
        <v>1236</v>
      </c>
      <c r="F408" s="19">
        <v>1</v>
      </c>
      <c r="G408" s="40">
        <v>2012</v>
      </c>
      <c r="H408" s="40" t="s">
        <v>1366</v>
      </c>
      <c r="I408" s="40" t="s">
        <v>1367</v>
      </c>
      <c r="J408" s="40" t="s">
        <v>1368</v>
      </c>
      <c r="K408" s="52" t="s">
        <v>1369</v>
      </c>
      <c r="L408" s="40"/>
    </row>
    <row r="409" spans="1:12" customFormat="1" ht="14">
      <c r="A409" s="1">
        <v>407</v>
      </c>
      <c r="B409" s="2" t="s">
        <v>1308</v>
      </c>
      <c r="C409" s="13" t="s">
        <v>1236</v>
      </c>
      <c r="D409" s="4" t="s">
        <v>374</v>
      </c>
      <c r="E409" s="13" t="s">
        <v>1236</v>
      </c>
      <c r="F409" s="3">
        <v>3</v>
      </c>
      <c r="G409" s="4">
        <v>2014</v>
      </c>
      <c r="H409" s="4" t="s">
        <v>1370</v>
      </c>
      <c r="I409" s="4" t="s">
        <v>1371</v>
      </c>
      <c r="J409" s="4" t="s">
        <v>1088</v>
      </c>
      <c r="K409" s="7" t="s">
        <v>1372</v>
      </c>
      <c r="L409" s="4"/>
    </row>
    <row r="410" spans="1:12" customFormat="1" ht="14">
      <c r="A410" s="1">
        <v>408</v>
      </c>
      <c r="B410" s="2" t="s">
        <v>1308</v>
      </c>
      <c r="C410" s="13" t="s">
        <v>1236</v>
      </c>
      <c r="D410" s="4" t="s">
        <v>374</v>
      </c>
      <c r="E410" s="13" t="s">
        <v>1236</v>
      </c>
      <c r="F410" s="3">
        <v>3</v>
      </c>
      <c r="G410" s="4">
        <v>2015</v>
      </c>
      <c r="H410" s="4" t="s">
        <v>1373</v>
      </c>
      <c r="I410" s="4" t="s">
        <v>1374</v>
      </c>
      <c r="J410" s="4" t="s">
        <v>1375</v>
      </c>
      <c r="K410" s="7" t="s">
        <v>1376</v>
      </c>
      <c r="L410" s="4"/>
    </row>
    <row r="411" spans="1:12" customFormat="1" ht="14">
      <c r="A411" s="1">
        <v>409</v>
      </c>
      <c r="B411" s="2" t="s">
        <v>1308</v>
      </c>
      <c r="C411" s="13" t="s">
        <v>1236</v>
      </c>
      <c r="D411" s="4" t="s">
        <v>374</v>
      </c>
      <c r="E411" s="13" t="s">
        <v>1236</v>
      </c>
      <c r="F411" s="3">
        <v>3</v>
      </c>
      <c r="G411" s="4">
        <v>2012</v>
      </c>
      <c r="H411" s="4" t="s">
        <v>1377</v>
      </c>
      <c r="I411" s="4" t="s">
        <v>1378</v>
      </c>
      <c r="J411" s="4" t="s">
        <v>1148</v>
      </c>
      <c r="K411" s="7" t="s">
        <v>1379</v>
      </c>
      <c r="L411" s="4"/>
    </row>
    <row r="412" spans="1:12" customFormat="1" ht="14">
      <c r="A412" s="1">
        <v>410</v>
      </c>
      <c r="B412" s="2" t="s">
        <v>1308</v>
      </c>
      <c r="C412" s="13" t="s">
        <v>1236</v>
      </c>
      <c r="D412" s="4" t="s">
        <v>374</v>
      </c>
      <c r="E412" s="13" t="s">
        <v>1236</v>
      </c>
      <c r="F412" s="3">
        <v>3</v>
      </c>
      <c r="G412" s="4">
        <v>2015</v>
      </c>
      <c r="H412" s="4" t="s">
        <v>1380</v>
      </c>
      <c r="I412" s="4" t="s">
        <v>1381</v>
      </c>
      <c r="J412" s="4" t="s">
        <v>1382</v>
      </c>
      <c r="K412" s="7" t="s">
        <v>1383</v>
      </c>
      <c r="L412" s="4"/>
    </row>
    <row r="413" spans="1:12" customFormat="1" ht="14">
      <c r="A413" s="1">
        <v>411</v>
      </c>
      <c r="B413" s="2" t="s">
        <v>1308</v>
      </c>
      <c r="C413" s="13" t="s">
        <v>1236</v>
      </c>
      <c r="D413" s="4" t="s">
        <v>374</v>
      </c>
      <c r="E413" s="13" t="s">
        <v>1236</v>
      </c>
      <c r="F413" s="3">
        <v>3</v>
      </c>
      <c r="G413" s="4">
        <v>2015</v>
      </c>
      <c r="H413" s="6" t="s">
        <v>1384</v>
      </c>
      <c r="I413" s="4" t="s">
        <v>134</v>
      </c>
      <c r="J413" s="4" t="s">
        <v>1385</v>
      </c>
      <c r="K413" s="7" t="s">
        <v>1386</v>
      </c>
      <c r="L413" s="4"/>
    </row>
    <row r="414" spans="1:12" ht="14">
      <c r="A414" s="49">
        <v>412</v>
      </c>
      <c r="B414" s="50" t="s">
        <v>1308</v>
      </c>
      <c r="C414" s="58" t="s">
        <v>1236</v>
      </c>
      <c r="D414" s="40" t="s">
        <v>374</v>
      </c>
      <c r="E414" s="58" t="s">
        <v>1236</v>
      </c>
      <c r="F414" s="19">
        <v>2</v>
      </c>
      <c r="G414" s="40">
        <v>2014</v>
      </c>
      <c r="H414" s="40" t="s">
        <v>1387</v>
      </c>
      <c r="I414" s="40" t="s">
        <v>1388</v>
      </c>
      <c r="J414" s="40" t="s">
        <v>1389</v>
      </c>
      <c r="K414" s="52" t="s">
        <v>1390</v>
      </c>
      <c r="L414" s="40"/>
    </row>
    <row r="415" spans="1:12" ht="14">
      <c r="A415" s="49">
        <v>413</v>
      </c>
      <c r="B415" s="50" t="s">
        <v>1308</v>
      </c>
      <c r="C415" s="58" t="s">
        <v>1236</v>
      </c>
      <c r="D415" s="40" t="s">
        <v>374</v>
      </c>
      <c r="E415" s="58" t="s">
        <v>1236</v>
      </c>
      <c r="F415" s="19">
        <v>1</v>
      </c>
      <c r="G415" s="40">
        <v>2008</v>
      </c>
      <c r="H415" s="40" t="s">
        <v>1391</v>
      </c>
      <c r="I415" s="40" t="s">
        <v>1392</v>
      </c>
      <c r="J415" s="40" t="s">
        <v>1393</v>
      </c>
      <c r="K415" s="52" t="s">
        <v>1394</v>
      </c>
      <c r="L415" s="40"/>
    </row>
    <row r="416" spans="1:12" ht="14">
      <c r="A416" s="49">
        <v>414</v>
      </c>
      <c r="B416" s="50" t="s">
        <v>1308</v>
      </c>
      <c r="C416" s="58" t="s">
        <v>1236</v>
      </c>
      <c r="D416" s="40" t="s">
        <v>374</v>
      </c>
      <c r="E416" s="58" t="s">
        <v>1236</v>
      </c>
      <c r="F416" s="19">
        <v>3</v>
      </c>
      <c r="G416" s="40">
        <v>2011</v>
      </c>
      <c r="H416" s="40" t="s">
        <v>1395</v>
      </c>
      <c r="I416" s="40" t="s">
        <v>1396</v>
      </c>
      <c r="J416" s="40" t="s">
        <v>1397</v>
      </c>
      <c r="K416" s="52" t="s">
        <v>1398</v>
      </c>
      <c r="L416" s="40"/>
    </row>
    <row r="417" spans="1:12" ht="14">
      <c r="A417" s="49">
        <v>415</v>
      </c>
      <c r="B417" s="50" t="s">
        <v>1308</v>
      </c>
      <c r="C417" s="58" t="s">
        <v>1236</v>
      </c>
      <c r="D417" s="40" t="s">
        <v>374</v>
      </c>
      <c r="E417" s="58" t="s">
        <v>1236</v>
      </c>
      <c r="F417" s="19">
        <v>1</v>
      </c>
      <c r="G417" s="40">
        <v>2006</v>
      </c>
      <c r="H417" s="40" t="s">
        <v>1399</v>
      </c>
      <c r="I417" s="40" t="s">
        <v>966</v>
      </c>
      <c r="J417" s="40" t="s">
        <v>553</v>
      </c>
      <c r="K417" s="52" t="s">
        <v>554</v>
      </c>
      <c r="L417" s="40"/>
    </row>
    <row r="418" spans="1:12" customFormat="1" ht="14">
      <c r="A418" s="1">
        <v>416</v>
      </c>
      <c r="B418" s="2" t="s">
        <v>1308</v>
      </c>
      <c r="C418" s="13" t="s">
        <v>1236</v>
      </c>
      <c r="D418" s="4" t="s">
        <v>374</v>
      </c>
      <c r="E418" s="13" t="s">
        <v>1236</v>
      </c>
      <c r="F418" s="3">
        <v>3</v>
      </c>
      <c r="G418" s="4">
        <v>2011</v>
      </c>
      <c r="H418" s="4" t="s">
        <v>1400</v>
      </c>
      <c r="I418" s="4" t="s">
        <v>1401</v>
      </c>
      <c r="J418" s="4" t="s">
        <v>1402</v>
      </c>
      <c r="K418" s="7" t="s">
        <v>1403</v>
      </c>
      <c r="L418" s="4"/>
    </row>
    <row r="419" spans="1:12" customFormat="1" ht="14">
      <c r="A419" s="1">
        <v>417</v>
      </c>
      <c r="B419" s="2" t="s">
        <v>1308</v>
      </c>
      <c r="C419" s="13" t="s">
        <v>1236</v>
      </c>
      <c r="D419" s="4" t="s">
        <v>374</v>
      </c>
      <c r="E419" s="13" t="s">
        <v>1236</v>
      </c>
      <c r="F419" s="3">
        <v>3</v>
      </c>
      <c r="G419" s="4">
        <v>2014</v>
      </c>
      <c r="H419" s="6" t="s">
        <v>1404</v>
      </c>
      <c r="I419" s="4" t="s">
        <v>1405</v>
      </c>
      <c r="J419" s="4" t="s">
        <v>1406</v>
      </c>
      <c r="K419" s="7" t="s">
        <v>1407</v>
      </c>
      <c r="L419" s="4"/>
    </row>
    <row r="420" spans="1:12" ht="14">
      <c r="A420" s="49">
        <v>418</v>
      </c>
      <c r="B420" s="50" t="s">
        <v>1308</v>
      </c>
      <c r="C420" s="58" t="s">
        <v>1236</v>
      </c>
      <c r="D420" s="40" t="s">
        <v>374</v>
      </c>
      <c r="E420" s="58" t="s">
        <v>1236</v>
      </c>
      <c r="F420" s="19">
        <v>1</v>
      </c>
      <c r="G420" s="40">
        <v>2014</v>
      </c>
      <c r="H420" s="40" t="s">
        <v>1408</v>
      </c>
      <c r="I420" s="40" t="s">
        <v>1326</v>
      </c>
      <c r="J420" s="40" t="s">
        <v>1409</v>
      </c>
      <c r="L420" s="40"/>
    </row>
    <row r="421" spans="1:12" ht="14">
      <c r="A421" s="49">
        <v>419</v>
      </c>
      <c r="B421" s="50" t="s">
        <v>1308</v>
      </c>
      <c r="C421" s="58" t="s">
        <v>1236</v>
      </c>
      <c r="D421" s="40" t="s">
        <v>374</v>
      </c>
      <c r="E421" s="58" t="s">
        <v>1236</v>
      </c>
      <c r="F421" s="19">
        <v>2</v>
      </c>
      <c r="G421" s="40">
        <v>2013</v>
      </c>
      <c r="H421" s="40" t="s">
        <v>1410</v>
      </c>
      <c r="I421" s="40" t="s">
        <v>90</v>
      </c>
      <c r="J421" s="40" t="s">
        <v>999</v>
      </c>
      <c r="K421" s="52" t="s">
        <v>1411</v>
      </c>
      <c r="L421" s="40"/>
    </row>
    <row r="422" spans="1:12" customFormat="1" ht="14">
      <c r="A422" s="1">
        <v>420</v>
      </c>
      <c r="B422" s="2" t="s">
        <v>1308</v>
      </c>
      <c r="C422" s="13" t="s">
        <v>1236</v>
      </c>
      <c r="D422" s="4" t="s">
        <v>374</v>
      </c>
      <c r="E422" s="13" t="s">
        <v>1236</v>
      </c>
      <c r="F422" s="3">
        <v>3</v>
      </c>
      <c r="G422" s="4">
        <v>2011</v>
      </c>
      <c r="H422" s="6" t="s">
        <v>1412</v>
      </c>
      <c r="I422" s="4" t="s">
        <v>1374</v>
      </c>
      <c r="J422" s="4" t="s">
        <v>1375</v>
      </c>
      <c r="K422" s="7" t="s">
        <v>1413</v>
      </c>
      <c r="L422" s="4"/>
    </row>
    <row r="423" spans="1:12" customFormat="1" ht="14">
      <c r="A423" s="1">
        <v>421</v>
      </c>
      <c r="B423" s="2" t="s">
        <v>1308</v>
      </c>
      <c r="C423" s="13" t="s">
        <v>1236</v>
      </c>
      <c r="D423" s="4" t="s">
        <v>374</v>
      </c>
      <c r="E423" s="13" t="s">
        <v>1236</v>
      </c>
      <c r="F423" s="3">
        <v>3</v>
      </c>
      <c r="G423" s="4">
        <v>2009</v>
      </c>
      <c r="H423" s="6" t="s">
        <v>1414</v>
      </c>
      <c r="I423" s="4" t="s">
        <v>1415</v>
      </c>
      <c r="J423" s="4" t="s">
        <v>1416</v>
      </c>
      <c r="K423" s="7" t="s">
        <v>1417</v>
      </c>
      <c r="L423" s="4"/>
    </row>
    <row r="424" spans="1:12" ht="14">
      <c r="A424" s="49">
        <v>422</v>
      </c>
      <c r="B424" s="50" t="s">
        <v>1308</v>
      </c>
      <c r="C424" s="58" t="s">
        <v>1236</v>
      </c>
      <c r="D424" s="40" t="s">
        <v>374</v>
      </c>
      <c r="E424" s="58" t="s">
        <v>1236</v>
      </c>
      <c r="F424" s="19">
        <v>2</v>
      </c>
      <c r="G424" s="40">
        <v>2012</v>
      </c>
      <c r="H424" s="40" t="s">
        <v>1418</v>
      </c>
      <c r="I424" s="40" t="s">
        <v>37</v>
      </c>
      <c r="J424" s="40" t="s">
        <v>1419</v>
      </c>
      <c r="K424" s="52" t="s">
        <v>1420</v>
      </c>
      <c r="L424" s="40"/>
    </row>
    <row r="425" spans="1:12" customFormat="1" ht="14">
      <c r="A425" s="1">
        <v>423</v>
      </c>
      <c r="B425" s="2" t="s">
        <v>1308</v>
      </c>
      <c r="C425" s="13" t="s">
        <v>1236</v>
      </c>
      <c r="D425" s="4" t="s">
        <v>374</v>
      </c>
      <c r="E425" s="13" t="s">
        <v>1236</v>
      </c>
      <c r="F425" s="3">
        <v>3</v>
      </c>
      <c r="G425" s="4">
        <v>2011</v>
      </c>
      <c r="H425" s="6" t="s">
        <v>1421</v>
      </c>
      <c r="I425" s="4" t="s">
        <v>1422</v>
      </c>
      <c r="J425" s="4" t="s">
        <v>1423</v>
      </c>
      <c r="K425" s="7" t="s">
        <v>1424</v>
      </c>
      <c r="L425" s="4"/>
    </row>
    <row r="426" spans="1:12" ht="14">
      <c r="A426" s="49">
        <v>424</v>
      </c>
      <c r="B426" s="50" t="s">
        <v>1308</v>
      </c>
      <c r="C426" s="58" t="s">
        <v>1236</v>
      </c>
      <c r="D426" s="40" t="s">
        <v>374</v>
      </c>
      <c r="E426" s="58" t="s">
        <v>1236</v>
      </c>
      <c r="F426" s="19">
        <v>2</v>
      </c>
      <c r="G426" s="40">
        <v>2012</v>
      </c>
      <c r="H426" s="40" t="s">
        <v>1425</v>
      </c>
      <c r="I426" s="40" t="s">
        <v>1426</v>
      </c>
      <c r="J426" s="40" t="s">
        <v>1427</v>
      </c>
      <c r="K426" s="52" t="s">
        <v>1428</v>
      </c>
      <c r="L426" s="40"/>
    </row>
    <row r="427" spans="1:12" ht="14">
      <c r="A427" s="49">
        <v>425</v>
      </c>
      <c r="B427" s="50" t="s">
        <v>1308</v>
      </c>
      <c r="C427" s="58" t="s">
        <v>1236</v>
      </c>
      <c r="D427" s="40" t="s">
        <v>374</v>
      </c>
      <c r="E427" s="58" t="s">
        <v>1236</v>
      </c>
      <c r="F427" s="19">
        <v>1</v>
      </c>
      <c r="G427" s="40">
        <v>2009</v>
      </c>
      <c r="H427" s="40" t="s">
        <v>1429</v>
      </c>
      <c r="I427" s="40" t="s">
        <v>561</v>
      </c>
      <c r="J427" s="40" t="s">
        <v>1021</v>
      </c>
      <c r="K427" s="52" t="s">
        <v>1430</v>
      </c>
      <c r="L427" s="40"/>
    </row>
    <row r="428" spans="1:12" customFormat="1" ht="14">
      <c r="A428" s="1">
        <v>426</v>
      </c>
      <c r="B428" s="2" t="s">
        <v>1308</v>
      </c>
      <c r="C428" s="13" t="s">
        <v>1236</v>
      </c>
      <c r="D428" s="4" t="s">
        <v>374</v>
      </c>
      <c r="E428" s="13" t="s">
        <v>1236</v>
      </c>
      <c r="F428" s="3">
        <v>3</v>
      </c>
      <c r="G428" s="4">
        <v>2013</v>
      </c>
      <c r="H428" s="6" t="s">
        <v>1431</v>
      </c>
      <c r="I428" s="4" t="s">
        <v>1432</v>
      </c>
      <c r="J428" s="4" t="s">
        <v>1361</v>
      </c>
      <c r="K428" s="7" t="s">
        <v>1433</v>
      </c>
      <c r="L428" s="4"/>
    </row>
    <row r="429" spans="1:12" ht="14">
      <c r="A429" s="49">
        <v>427</v>
      </c>
      <c r="B429" s="50" t="s">
        <v>1308</v>
      </c>
      <c r="C429" s="58" t="s">
        <v>1236</v>
      </c>
      <c r="D429" s="40" t="s">
        <v>374</v>
      </c>
      <c r="E429" s="58" t="s">
        <v>1236</v>
      </c>
      <c r="F429" s="19">
        <v>2</v>
      </c>
      <c r="G429" s="40">
        <v>2013</v>
      </c>
      <c r="H429" s="40" t="s">
        <v>1434</v>
      </c>
      <c r="I429" s="40" t="s">
        <v>1432</v>
      </c>
      <c r="J429" s="40" t="s">
        <v>596</v>
      </c>
      <c r="K429" s="52" t="s">
        <v>1435</v>
      </c>
      <c r="L429" s="40"/>
    </row>
    <row r="430" spans="1:12" ht="14">
      <c r="A430" s="49">
        <v>428</v>
      </c>
      <c r="B430" s="50" t="s">
        <v>1308</v>
      </c>
      <c r="C430" s="58" t="s">
        <v>1236</v>
      </c>
      <c r="D430" s="40" t="s">
        <v>374</v>
      </c>
      <c r="E430" s="58" t="s">
        <v>1236</v>
      </c>
      <c r="F430" s="19">
        <v>2</v>
      </c>
      <c r="G430" s="40">
        <v>2008</v>
      </c>
      <c r="H430" s="40" t="s">
        <v>1436</v>
      </c>
      <c r="I430" s="40" t="s">
        <v>1437</v>
      </c>
      <c r="J430" s="40" t="s">
        <v>1438</v>
      </c>
      <c r="K430" s="52" t="s">
        <v>1439</v>
      </c>
      <c r="L430" s="40"/>
    </row>
    <row r="431" spans="1:12" ht="14">
      <c r="A431" s="49">
        <v>429</v>
      </c>
      <c r="B431" s="50" t="s">
        <v>1308</v>
      </c>
      <c r="C431" s="58" t="s">
        <v>1236</v>
      </c>
      <c r="D431" s="40" t="s">
        <v>374</v>
      </c>
      <c r="E431" s="58" t="s">
        <v>1236</v>
      </c>
      <c r="F431" s="19">
        <v>2</v>
      </c>
      <c r="G431" s="40">
        <v>2010</v>
      </c>
      <c r="H431" s="40" t="s">
        <v>1440</v>
      </c>
      <c r="I431" s="40" t="s">
        <v>1441</v>
      </c>
      <c r="J431" s="40" t="s">
        <v>1442</v>
      </c>
      <c r="K431" s="52" t="s">
        <v>1443</v>
      </c>
      <c r="L431" s="40"/>
    </row>
    <row r="432" spans="1:12" ht="14">
      <c r="A432" s="49">
        <v>430</v>
      </c>
      <c r="B432" s="50" t="s">
        <v>1308</v>
      </c>
      <c r="C432" s="58" t="s">
        <v>1236</v>
      </c>
      <c r="D432" s="40" t="s">
        <v>374</v>
      </c>
      <c r="E432" s="58" t="s">
        <v>1236</v>
      </c>
      <c r="F432" s="19">
        <v>2</v>
      </c>
      <c r="G432" s="40">
        <v>2013</v>
      </c>
      <c r="H432" s="40" t="s">
        <v>1444</v>
      </c>
      <c r="I432" s="40" t="s">
        <v>25</v>
      </c>
      <c r="J432" s="40" t="s">
        <v>1445</v>
      </c>
      <c r="K432" s="52" t="s">
        <v>1446</v>
      </c>
      <c r="L432" s="40"/>
    </row>
    <row r="433" spans="1:12" ht="14">
      <c r="A433" s="49">
        <v>431</v>
      </c>
      <c r="B433" s="50" t="s">
        <v>1308</v>
      </c>
      <c r="C433" s="58" t="s">
        <v>1236</v>
      </c>
      <c r="D433" s="40" t="s">
        <v>374</v>
      </c>
      <c r="E433" s="58" t="s">
        <v>1236</v>
      </c>
      <c r="F433" s="19">
        <v>1</v>
      </c>
      <c r="G433" s="40">
        <v>2010</v>
      </c>
      <c r="H433" s="40" t="s">
        <v>1447</v>
      </c>
      <c r="I433" s="40" t="s">
        <v>1448</v>
      </c>
      <c r="J433" s="40" t="s">
        <v>1449</v>
      </c>
      <c r="K433" s="52" t="s">
        <v>1450</v>
      </c>
      <c r="L433" s="40"/>
    </row>
    <row r="434" spans="1:12" ht="14">
      <c r="A434" s="49">
        <v>432</v>
      </c>
      <c r="B434" s="50" t="s">
        <v>1308</v>
      </c>
      <c r="C434" s="58" t="s">
        <v>1236</v>
      </c>
      <c r="D434" s="40" t="s">
        <v>374</v>
      </c>
      <c r="E434" s="58" t="s">
        <v>1236</v>
      </c>
      <c r="F434" s="19">
        <v>1</v>
      </c>
      <c r="G434" s="40">
        <v>2008</v>
      </c>
      <c r="H434" s="40" t="s">
        <v>558</v>
      </c>
      <c r="I434" s="40" t="s">
        <v>459</v>
      </c>
      <c r="J434" s="40" t="s">
        <v>261</v>
      </c>
      <c r="K434" s="52" t="s">
        <v>1451</v>
      </c>
      <c r="L434" s="40"/>
    </row>
    <row r="435" spans="1:12" ht="14">
      <c r="A435" s="49">
        <v>433</v>
      </c>
      <c r="B435" s="50" t="s">
        <v>1308</v>
      </c>
      <c r="C435" s="58" t="s">
        <v>1236</v>
      </c>
      <c r="D435" s="40" t="s">
        <v>374</v>
      </c>
      <c r="E435" s="58" t="s">
        <v>1236</v>
      </c>
      <c r="F435" s="19">
        <v>1</v>
      </c>
      <c r="G435" s="40">
        <v>2009</v>
      </c>
      <c r="H435" s="40" t="s">
        <v>1452</v>
      </c>
      <c r="I435" s="40" t="s">
        <v>1453</v>
      </c>
      <c r="J435" s="40" t="s">
        <v>261</v>
      </c>
      <c r="K435" s="52" t="s">
        <v>1454</v>
      </c>
      <c r="L435" s="40"/>
    </row>
    <row r="436" spans="1:12" ht="14">
      <c r="A436" s="49">
        <v>434</v>
      </c>
      <c r="B436" s="50" t="s">
        <v>1308</v>
      </c>
      <c r="C436" s="58" t="s">
        <v>1236</v>
      </c>
      <c r="D436" s="40" t="s">
        <v>374</v>
      </c>
      <c r="E436" s="58" t="s">
        <v>1236</v>
      </c>
      <c r="F436" s="19">
        <v>1</v>
      </c>
      <c r="G436" s="40">
        <v>2013</v>
      </c>
      <c r="H436" s="40" t="s">
        <v>1455</v>
      </c>
      <c r="I436" s="40" t="s">
        <v>1456</v>
      </c>
      <c r="J436" s="40" t="s">
        <v>261</v>
      </c>
      <c r="K436" s="52" t="s">
        <v>1457</v>
      </c>
      <c r="L436" s="40"/>
    </row>
    <row r="437" spans="1:12" ht="14">
      <c r="A437" s="49">
        <v>435</v>
      </c>
      <c r="B437" s="50" t="s">
        <v>1308</v>
      </c>
      <c r="C437" s="58" t="s">
        <v>1236</v>
      </c>
      <c r="D437" s="40" t="s">
        <v>374</v>
      </c>
      <c r="E437" s="58" t="s">
        <v>1236</v>
      </c>
      <c r="F437" s="19">
        <v>3</v>
      </c>
      <c r="G437" s="40">
        <v>2012</v>
      </c>
      <c r="H437" s="40" t="s">
        <v>1458</v>
      </c>
      <c r="I437" s="40" t="s">
        <v>1459</v>
      </c>
      <c r="J437" s="40" t="s">
        <v>1460</v>
      </c>
      <c r="K437" s="52" t="s">
        <v>1461</v>
      </c>
      <c r="L437" s="40"/>
    </row>
    <row r="438" spans="1:12" ht="14">
      <c r="A438" s="49">
        <v>436</v>
      </c>
      <c r="B438" s="50" t="s">
        <v>1308</v>
      </c>
      <c r="C438" s="58" t="s">
        <v>1236</v>
      </c>
      <c r="D438" s="40" t="s">
        <v>374</v>
      </c>
      <c r="E438" s="58" t="s">
        <v>1236</v>
      </c>
      <c r="F438" s="19">
        <v>2</v>
      </c>
      <c r="G438" s="40">
        <v>2012</v>
      </c>
      <c r="H438" s="40" t="s">
        <v>1462</v>
      </c>
      <c r="I438" s="40" t="s">
        <v>1388</v>
      </c>
      <c r="J438" s="40" t="s">
        <v>1275</v>
      </c>
      <c r="K438" s="52" t="s">
        <v>1463</v>
      </c>
      <c r="L438" s="40"/>
    </row>
    <row r="439" spans="1:12" ht="14">
      <c r="A439" s="49">
        <v>437</v>
      </c>
      <c r="B439" s="50" t="s">
        <v>1308</v>
      </c>
      <c r="C439" s="58" t="s">
        <v>1236</v>
      </c>
      <c r="D439" s="40" t="s">
        <v>374</v>
      </c>
      <c r="E439" s="58" t="s">
        <v>1236</v>
      </c>
      <c r="F439" s="19">
        <v>2</v>
      </c>
      <c r="G439" s="40">
        <v>2007</v>
      </c>
      <c r="H439" s="40" t="s">
        <v>1464</v>
      </c>
      <c r="I439" s="40" t="s">
        <v>1465</v>
      </c>
      <c r="J439" s="40" t="s">
        <v>1466</v>
      </c>
      <c r="K439" s="52" t="s">
        <v>1467</v>
      </c>
      <c r="L439" s="40"/>
    </row>
    <row r="440" spans="1:12" ht="14">
      <c r="A440" s="49">
        <v>438</v>
      </c>
      <c r="B440" s="50" t="s">
        <v>1308</v>
      </c>
      <c r="C440" s="58" t="s">
        <v>1236</v>
      </c>
      <c r="D440" s="40" t="s">
        <v>374</v>
      </c>
      <c r="E440" s="58" t="s">
        <v>1236</v>
      </c>
      <c r="F440" s="19">
        <v>1</v>
      </c>
      <c r="G440" s="40">
        <v>2010</v>
      </c>
      <c r="H440" s="40" t="s">
        <v>1468</v>
      </c>
      <c r="I440" s="40" t="s">
        <v>1469</v>
      </c>
      <c r="J440" s="40" t="s">
        <v>1205</v>
      </c>
      <c r="K440" s="52" t="s">
        <v>1470</v>
      </c>
      <c r="L440" s="40"/>
    </row>
    <row r="441" spans="1:12" ht="14">
      <c r="A441" s="49">
        <v>439</v>
      </c>
      <c r="B441" s="50" t="s">
        <v>1308</v>
      </c>
      <c r="C441" s="58" t="s">
        <v>1236</v>
      </c>
      <c r="D441" s="40" t="s">
        <v>374</v>
      </c>
      <c r="E441" s="58" t="s">
        <v>1236</v>
      </c>
      <c r="F441" s="19">
        <v>1</v>
      </c>
      <c r="G441" s="40">
        <v>2012</v>
      </c>
      <c r="H441" s="40" t="s">
        <v>1471</v>
      </c>
      <c r="I441" s="40" t="s">
        <v>1472</v>
      </c>
      <c r="J441" s="40" t="s">
        <v>1249</v>
      </c>
      <c r="K441" s="52" t="s">
        <v>1473</v>
      </c>
      <c r="L441" s="40"/>
    </row>
    <row r="442" spans="1:12" ht="14">
      <c r="A442" s="49">
        <v>440</v>
      </c>
      <c r="B442" s="50" t="s">
        <v>1308</v>
      </c>
      <c r="C442" s="58" t="s">
        <v>1236</v>
      </c>
      <c r="D442" s="40" t="s">
        <v>374</v>
      </c>
      <c r="E442" s="58" t="s">
        <v>1236</v>
      </c>
      <c r="F442" s="19">
        <v>1</v>
      </c>
      <c r="G442" s="40">
        <v>2009</v>
      </c>
      <c r="H442" s="40" t="s">
        <v>1474</v>
      </c>
      <c r="I442" s="40" t="s">
        <v>1238</v>
      </c>
      <c r="J442" s="40" t="s">
        <v>1475</v>
      </c>
      <c r="K442" s="52" t="s">
        <v>1476</v>
      </c>
      <c r="L442" s="40"/>
    </row>
    <row r="443" spans="1:12" ht="14">
      <c r="A443" s="49">
        <v>441</v>
      </c>
      <c r="B443" s="50" t="s">
        <v>1308</v>
      </c>
      <c r="C443" s="58" t="s">
        <v>1236</v>
      </c>
      <c r="D443" s="40" t="s">
        <v>374</v>
      </c>
      <c r="E443" s="58" t="s">
        <v>1236</v>
      </c>
      <c r="F443" s="19">
        <v>1</v>
      </c>
      <c r="G443" s="40">
        <v>2011</v>
      </c>
      <c r="H443" s="40" t="s">
        <v>1477</v>
      </c>
      <c r="I443" s="40" t="s">
        <v>1355</v>
      </c>
      <c r="J443" s="40" t="s">
        <v>1475</v>
      </c>
      <c r="K443" s="52" t="s">
        <v>1478</v>
      </c>
      <c r="L443" s="40"/>
    </row>
    <row r="444" spans="1:12" customFormat="1" ht="14">
      <c r="A444" s="1">
        <v>442</v>
      </c>
      <c r="B444" s="2" t="s">
        <v>1308</v>
      </c>
      <c r="C444" s="13" t="s">
        <v>1236</v>
      </c>
      <c r="D444" s="4" t="s">
        <v>374</v>
      </c>
      <c r="E444" s="13" t="s">
        <v>1236</v>
      </c>
      <c r="F444" s="3">
        <v>3</v>
      </c>
      <c r="G444" s="4">
        <v>2011</v>
      </c>
      <c r="H444" s="4" t="s">
        <v>1479</v>
      </c>
      <c r="I444" s="4" t="s">
        <v>1238</v>
      </c>
      <c r="J444" s="4" t="s">
        <v>1475</v>
      </c>
      <c r="K444" s="7" t="s">
        <v>1480</v>
      </c>
      <c r="L444" s="4"/>
    </row>
    <row r="445" spans="1:12" ht="14">
      <c r="A445" s="49">
        <v>443</v>
      </c>
      <c r="B445" s="50" t="s">
        <v>1308</v>
      </c>
      <c r="C445" s="58" t="s">
        <v>1236</v>
      </c>
      <c r="D445" s="40" t="s">
        <v>374</v>
      </c>
      <c r="E445" s="58" t="s">
        <v>1236</v>
      </c>
      <c r="F445" s="19">
        <v>3</v>
      </c>
      <c r="G445" s="40">
        <v>2014</v>
      </c>
      <c r="H445" s="40" t="s">
        <v>1481</v>
      </c>
      <c r="I445" s="40" t="s">
        <v>1238</v>
      </c>
      <c r="J445" s="40" t="s">
        <v>1482</v>
      </c>
      <c r="K445" s="52" t="s">
        <v>1483</v>
      </c>
      <c r="L445" s="40"/>
    </row>
    <row r="446" spans="1:12" ht="14">
      <c r="A446" s="49">
        <v>444</v>
      </c>
      <c r="B446" s="50" t="s">
        <v>1308</v>
      </c>
      <c r="C446" s="58" t="s">
        <v>1236</v>
      </c>
      <c r="D446" s="40" t="s">
        <v>374</v>
      </c>
      <c r="E446" s="58" t="s">
        <v>1236</v>
      </c>
      <c r="F446" s="19">
        <v>1</v>
      </c>
      <c r="G446" s="40">
        <v>2012</v>
      </c>
      <c r="H446" s="40" t="s">
        <v>994</v>
      </c>
      <c r="I446" s="40" t="s">
        <v>1351</v>
      </c>
      <c r="J446" s="40" t="s">
        <v>1484</v>
      </c>
      <c r="K446" s="52" t="s">
        <v>1485</v>
      </c>
      <c r="L446" s="40"/>
    </row>
    <row r="447" spans="1:12" ht="14">
      <c r="A447" s="49">
        <v>445</v>
      </c>
      <c r="B447" s="50" t="s">
        <v>1308</v>
      </c>
      <c r="C447" s="58" t="s">
        <v>1236</v>
      </c>
      <c r="D447" s="40" t="s">
        <v>374</v>
      </c>
      <c r="E447" s="58" t="s">
        <v>1236</v>
      </c>
      <c r="F447" s="19">
        <v>2</v>
      </c>
      <c r="G447" s="40">
        <v>2012</v>
      </c>
      <c r="H447" s="40" t="s">
        <v>1486</v>
      </c>
      <c r="I447" s="40" t="s">
        <v>1351</v>
      </c>
      <c r="J447" s="40" t="s">
        <v>1487</v>
      </c>
      <c r="K447" s="52" t="s">
        <v>1488</v>
      </c>
      <c r="L447" s="40"/>
    </row>
    <row r="448" spans="1:12" ht="14">
      <c r="A448" s="49">
        <v>446</v>
      </c>
      <c r="B448" s="50" t="s">
        <v>1308</v>
      </c>
      <c r="C448" s="58" t="s">
        <v>1236</v>
      </c>
      <c r="D448" s="40" t="s">
        <v>374</v>
      </c>
      <c r="E448" s="58" t="s">
        <v>1236</v>
      </c>
      <c r="F448" s="19">
        <v>2</v>
      </c>
      <c r="G448" s="40">
        <v>2012</v>
      </c>
      <c r="H448" s="40" t="s">
        <v>1489</v>
      </c>
      <c r="I448" s="40" t="s">
        <v>402</v>
      </c>
      <c r="J448" s="40" t="s">
        <v>1337</v>
      </c>
      <c r="K448" s="52" t="s">
        <v>1490</v>
      </c>
      <c r="L448" s="40"/>
    </row>
    <row r="449" spans="1:29" ht="14">
      <c r="A449" s="49">
        <v>447</v>
      </c>
      <c r="B449" s="50" t="s">
        <v>1308</v>
      </c>
      <c r="C449" s="58" t="s">
        <v>1236</v>
      </c>
      <c r="D449" s="40" t="s">
        <v>374</v>
      </c>
      <c r="E449" s="58" t="s">
        <v>1236</v>
      </c>
      <c r="F449" s="19">
        <v>2</v>
      </c>
      <c r="G449" s="40">
        <v>2011</v>
      </c>
      <c r="H449" s="40" t="s">
        <v>1491</v>
      </c>
      <c r="I449" s="40" t="s">
        <v>1238</v>
      </c>
      <c r="J449" s="40" t="s">
        <v>1492</v>
      </c>
      <c r="K449" s="52" t="s">
        <v>1493</v>
      </c>
      <c r="L449" s="40"/>
    </row>
    <row r="450" spans="1:29" ht="14">
      <c r="A450" s="49">
        <v>448</v>
      </c>
      <c r="B450" s="50" t="s">
        <v>1308</v>
      </c>
      <c r="C450" s="58" t="s">
        <v>1236</v>
      </c>
      <c r="D450" s="40" t="s">
        <v>374</v>
      </c>
      <c r="E450" s="58" t="s">
        <v>1236</v>
      </c>
      <c r="F450" s="19">
        <v>2</v>
      </c>
      <c r="G450" s="40">
        <v>2008</v>
      </c>
      <c r="H450" s="40" t="s">
        <v>1494</v>
      </c>
      <c r="I450" s="40" t="s">
        <v>1392</v>
      </c>
      <c r="J450" s="40" t="s">
        <v>1495</v>
      </c>
      <c r="K450" s="52" t="s">
        <v>1496</v>
      </c>
      <c r="L450" s="40"/>
    </row>
    <row r="451" spans="1:29" ht="14">
      <c r="A451" s="38">
        <v>449</v>
      </c>
      <c r="B451" s="36" t="s">
        <v>1308</v>
      </c>
      <c r="C451" s="77" t="s">
        <v>1236</v>
      </c>
      <c r="D451" s="36" t="s">
        <v>374</v>
      </c>
      <c r="E451" s="77" t="s">
        <v>1236</v>
      </c>
      <c r="F451" s="38">
        <v>2</v>
      </c>
      <c r="G451" s="77">
        <v>2015</v>
      </c>
      <c r="H451" s="36" t="s">
        <v>1793</v>
      </c>
      <c r="I451" s="36" t="s">
        <v>1794</v>
      </c>
      <c r="J451" s="36" t="s">
        <v>1795</v>
      </c>
      <c r="K451" s="36" t="s">
        <v>1796</v>
      </c>
    </row>
    <row r="452" spans="1:29" ht="14">
      <c r="A452" s="38">
        <v>450</v>
      </c>
      <c r="B452" s="36" t="s">
        <v>1797</v>
      </c>
      <c r="C452" s="77" t="s">
        <v>1236</v>
      </c>
      <c r="D452" s="36" t="s">
        <v>374</v>
      </c>
      <c r="E452" s="77" t="s">
        <v>1236</v>
      </c>
      <c r="F452" s="38">
        <v>3</v>
      </c>
      <c r="G452" s="77">
        <v>2014</v>
      </c>
      <c r="H452" s="36" t="s">
        <v>1798</v>
      </c>
      <c r="I452" s="36" t="s">
        <v>1799</v>
      </c>
      <c r="J452" s="36" t="s">
        <v>1800</v>
      </c>
      <c r="K452" s="79" t="s">
        <v>1801</v>
      </c>
      <c r="L452" s="36"/>
      <c r="M452" s="36"/>
      <c r="N452" s="36"/>
      <c r="O452" s="36"/>
      <c r="P452" s="36"/>
      <c r="Q452" s="36"/>
      <c r="R452" s="36"/>
      <c r="S452" s="36"/>
      <c r="T452" s="36"/>
      <c r="U452" s="36"/>
      <c r="V452" s="36"/>
      <c r="W452" s="36"/>
      <c r="X452" s="36"/>
      <c r="Y452" s="36"/>
      <c r="Z452" s="36"/>
      <c r="AA452" s="36"/>
      <c r="AB452" s="36"/>
      <c r="AC452" s="36"/>
    </row>
    <row r="453" spans="1:29" ht="14">
      <c r="A453" s="38">
        <v>451</v>
      </c>
      <c r="B453" s="36" t="s">
        <v>1797</v>
      </c>
      <c r="C453" s="77" t="s">
        <v>1236</v>
      </c>
      <c r="D453" s="36" t="s">
        <v>374</v>
      </c>
      <c r="E453" s="77" t="s">
        <v>1236</v>
      </c>
      <c r="F453" s="38">
        <v>3</v>
      </c>
      <c r="G453" s="77">
        <v>2014</v>
      </c>
      <c r="H453" s="36" t="s">
        <v>1802</v>
      </c>
      <c r="I453" s="36" t="s">
        <v>1799</v>
      </c>
      <c r="J453" s="36" t="s">
        <v>1800</v>
      </c>
      <c r="K453" s="79" t="s">
        <v>1803</v>
      </c>
      <c r="L453" s="36"/>
      <c r="M453" s="36"/>
      <c r="N453" s="36"/>
      <c r="O453" s="36"/>
      <c r="P453" s="36"/>
      <c r="Q453" s="36"/>
      <c r="R453" s="36"/>
      <c r="S453" s="36"/>
      <c r="T453" s="36"/>
      <c r="U453" s="36"/>
      <c r="V453" s="36"/>
      <c r="W453" s="36"/>
      <c r="X453" s="36"/>
      <c r="Y453" s="36"/>
      <c r="Z453" s="36"/>
      <c r="AA453" s="36"/>
      <c r="AB453" s="36"/>
      <c r="AC453" s="36"/>
    </row>
    <row r="454" spans="1:29" ht="14">
      <c r="A454" s="38">
        <v>452</v>
      </c>
      <c r="B454" s="36" t="s">
        <v>1797</v>
      </c>
      <c r="C454" s="77" t="s">
        <v>1236</v>
      </c>
      <c r="D454" s="36" t="s">
        <v>374</v>
      </c>
      <c r="E454" s="77" t="s">
        <v>1236</v>
      </c>
      <c r="F454" s="38">
        <v>3</v>
      </c>
      <c r="G454" s="77">
        <v>2016</v>
      </c>
      <c r="H454" s="36" t="s">
        <v>1804</v>
      </c>
      <c r="I454" s="36" t="s">
        <v>1805</v>
      </c>
      <c r="J454" s="36" t="s">
        <v>1492</v>
      </c>
      <c r="K454" s="79" t="s">
        <v>1806</v>
      </c>
      <c r="L454" s="36"/>
      <c r="M454" s="36"/>
      <c r="N454" s="36"/>
      <c r="O454" s="36"/>
      <c r="P454" s="36"/>
      <c r="Q454" s="36"/>
      <c r="R454" s="36"/>
      <c r="S454" s="36"/>
      <c r="T454" s="36"/>
      <c r="U454" s="36"/>
      <c r="V454" s="36"/>
      <c r="W454" s="36"/>
      <c r="X454" s="36"/>
      <c r="Y454" s="36"/>
      <c r="Z454" s="36"/>
      <c r="AA454" s="36"/>
      <c r="AB454" s="36"/>
      <c r="AC454" s="36"/>
    </row>
    <row r="455" spans="1:29" ht="14">
      <c r="A455" s="38">
        <v>453</v>
      </c>
      <c r="B455" s="36" t="s">
        <v>1797</v>
      </c>
      <c r="C455" s="77" t="s">
        <v>1236</v>
      </c>
      <c r="D455" s="36" t="s">
        <v>374</v>
      </c>
      <c r="E455" s="77" t="s">
        <v>1236</v>
      </c>
      <c r="F455" s="38">
        <v>2</v>
      </c>
      <c r="G455" s="77">
        <v>2011</v>
      </c>
      <c r="H455" s="22" t="s">
        <v>1807</v>
      </c>
      <c r="I455" s="36" t="s">
        <v>1238</v>
      </c>
      <c r="J455" s="36" t="s">
        <v>1808</v>
      </c>
      <c r="K455" s="74" t="s">
        <v>1809</v>
      </c>
    </row>
    <row r="456" spans="1:29" ht="14">
      <c r="A456" s="38">
        <v>454</v>
      </c>
      <c r="B456" s="22" t="s">
        <v>1797</v>
      </c>
      <c r="C456" s="77" t="s">
        <v>1236</v>
      </c>
      <c r="D456" s="36" t="s">
        <v>374</v>
      </c>
      <c r="E456" s="77" t="s">
        <v>1236</v>
      </c>
      <c r="F456" s="38">
        <v>1</v>
      </c>
      <c r="G456" s="77">
        <v>2011</v>
      </c>
      <c r="H456" s="36" t="s">
        <v>1810</v>
      </c>
      <c r="I456" s="36" t="s">
        <v>1811</v>
      </c>
      <c r="J456" s="36" t="s">
        <v>1813</v>
      </c>
      <c r="K456" s="36" t="s">
        <v>1812</v>
      </c>
    </row>
    <row r="457" spans="1:29" ht="14">
      <c r="A457" s="38">
        <v>455</v>
      </c>
      <c r="B457" s="36" t="s">
        <v>1857</v>
      </c>
      <c r="C457" s="77" t="s">
        <v>1236</v>
      </c>
      <c r="D457" s="36" t="s">
        <v>374</v>
      </c>
      <c r="E457" s="77" t="s">
        <v>1236</v>
      </c>
      <c r="F457" s="38">
        <v>1</v>
      </c>
      <c r="G457" s="77">
        <v>2015</v>
      </c>
      <c r="H457" s="36" t="s">
        <v>1858</v>
      </c>
      <c r="I457" s="36" t="s">
        <v>1238</v>
      </c>
      <c r="J457" s="36" t="s">
        <v>1859</v>
      </c>
      <c r="K457" s="79" t="s">
        <v>1860</v>
      </c>
    </row>
    <row r="458" spans="1:29" ht="14">
      <c r="A458" s="38">
        <v>456</v>
      </c>
      <c r="B458" s="36" t="s">
        <v>1888</v>
      </c>
      <c r="C458" s="77" t="s">
        <v>1236</v>
      </c>
      <c r="D458" s="36" t="s">
        <v>374</v>
      </c>
      <c r="E458" s="77" t="s">
        <v>1236</v>
      </c>
      <c r="F458" s="38">
        <v>1</v>
      </c>
      <c r="G458" s="77">
        <v>2016</v>
      </c>
      <c r="H458" s="36" t="s">
        <v>1861</v>
      </c>
      <c r="I458" s="36" t="s">
        <v>1238</v>
      </c>
      <c r="J458" s="36" t="s">
        <v>1859</v>
      </c>
      <c r="K458" s="79" t="s">
        <v>1862</v>
      </c>
    </row>
    <row r="459" spans="1:29" ht="14">
      <c r="A459" s="38">
        <v>457</v>
      </c>
      <c r="B459" s="36" t="s">
        <v>1863</v>
      </c>
      <c r="C459" s="77" t="s">
        <v>1236</v>
      </c>
      <c r="D459" s="36" t="s">
        <v>374</v>
      </c>
      <c r="E459" s="77" t="s">
        <v>1236</v>
      </c>
      <c r="F459" s="38">
        <v>1</v>
      </c>
      <c r="G459" s="77">
        <v>2015</v>
      </c>
      <c r="H459" s="36" t="s">
        <v>1864</v>
      </c>
      <c r="I459" s="36" t="s">
        <v>90</v>
      </c>
      <c r="J459" s="36" t="s">
        <v>1865</v>
      </c>
      <c r="K459" s="79" t="s">
        <v>1866</v>
      </c>
    </row>
    <row r="460" spans="1:29" ht="14">
      <c r="A460" s="38">
        <v>458</v>
      </c>
      <c r="B460" s="36" t="s">
        <v>1867</v>
      </c>
      <c r="C460" s="77" t="s">
        <v>1868</v>
      </c>
      <c r="D460" s="36" t="s">
        <v>374</v>
      </c>
      <c r="E460" s="77">
        <v>15</v>
      </c>
      <c r="F460" s="38">
        <v>2</v>
      </c>
      <c r="G460" s="77">
        <v>2017</v>
      </c>
      <c r="H460" s="36" t="s">
        <v>1869</v>
      </c>
      <c r="I460" s="36" t="s">
        <v>37</v>
      </c>
      <c r="J460" s="36" t="s">
        <v>1870</v>
      </c>
      <c r="K460" s="79" t="s">
        <v>1871</v>
      </c>
    </row>
    <row r="461" spans="1:29" ht="14">
      <c r="A461" s="38">
        <v>459</v>
      </c>
      <c r="B461" s="36" t="s">
        <v>1867</v>
      </c>
      <c r="C461" s="77" t="s">
        <v>1868</v>
      </c>
      <c r="D461" s="36" t="s">
        <v>374</v>
      </c>
      <c r="E461" s="77">
        <v>15</v>
      </c>
      <c r="F461" s="38">
        <v>1</v>
      </c>
      <c r="G461" s="77">
        <v>2018</v>
      </c>
      <c r="H461" s="36" t="s">
        <v>1872</v>
      </c>
      <c r="I461" s="36" t="s">
        <v>230</v>
      </c>
      <c r="J461" s="36" t="s">
        <v>1873</v>
      </c>
      <c r="K461" s="79" t="s">
        <v>1874</v>
      </c>
    </row>
    <row r="462" spans="1:29" ht="14">
      <c r="A462" s="49">
        <v>460</v>
      </c>
      <c r="B462" s="36" t="s">
        <v>1867</v>
      </c>
      <c r="C462" s="77" t="s">
        <v>1868</v>
      </c>
      <c r="D462" s="36" t="s">
        <v>374</v>
      </c>
      <c r="E462" s="77">
        <v>15</v>
      </c>
      <c r="F462" s="19">
        <v>1</v>
      </c>
      <c r="G462" s="77">
        <v>2020</v>
      </c>
      <c r="H462" s="22" t="s">
        <v>1875</v>
      </c>
      <c r="I462" s="22" t="s">
        <v>1876</v>
      </c>
      <c r="J462" s="36" t="s">
        <v>1877</v>
      </c>
      <c r="K462" s="74" t="s">
        <v>1878</v>
      </c>
    </row>
    <row r="463" spans="1:29" ht="14">
      <c r="A463" s="49">
        <v>461</v>
      </c>
      <c r="B463" s="36" t="s">
        <v>1890</v>
      </c>
      <c r="C463" s="77" t="s">
        <v>1236</v>
      </c>
      <c r="D463" s="36" t="s">
        <v>374</v>
      </c>
      <c r="E463" s="77" t="s">
        <v>1236</v>
      </c>
      <c r="F463" s="19">
        <v>1</v>
      </c>
      <c r="G463" s="77">
        <v>2017</v>
      </c>
      <c r="H463" s="22" t="s">
        <v>1891</v>
      </c>
      <c r="I463" s="36" t="s">
        <v>230</v>
      </c>
      <c r="J463" s="36" t="s">
        <v>1892</v>
      </c>
      <c r="K463" s="74" t="s">
        <v>1893</v>
      </c>
    </row>
    <row r="464" spans="1:29" ht="13">
      <c r="A464" s="49"/>
      <c r="B464" s="50"/>
      <c r="G464" s="19"/>
    </row>
    <row r="465" spans="1:8" ht="13">
      <c r="A465" s="49"/>
      <c r="B465" s="50"/>
      <c r="E465" s="48" t="s">
        <v>1497</v>
      </c>
      <c r="F465" s="59" t="s">
        <v>1498</v>
      </c>
      <c r="G465" s="59"/>
    </row>
    <row r="466" spans="1:8" ht="13">
      <c r="A466" s="49"/>
      <c r="B466" s="50"/>
      <c r="E466" s="60"/>
      <c r="F466" s="61">
        <v>1</v>
      </c>
      <c r="G466" s="61">
        <f t="array" ref="G466:G470">FREQUENCY(F2:F463, F466:F469)</f>
        <v>108</v>
      </c>
      <c r="H466" s="81">
        <f>G466/$G$471</f>
        <v>0.23427331887201736</v>
      </c>
    </row>
    <row r="467" spans="1:8" ht="13">
      <c r="A467" s="49"/>
      <c r="B467" s="50"/>
      <c r="E467" s="60"/>
      <c r="F467" s="61">
        <v>2</v>
      </c>
      <c r="G467" s="61">
        <v>93</v>
      </c>
      <c r="H467" s="81">
        <f t="shared" ref="H467:H469" si="0">G467/$G$471</f>
        <v>0.2017353579175705</v>
      </c>
    </row>
    <row r="468" spans="1:8" ht="13">
      <c r="A468" s="49"/>
      <c r="B468" s="50"/>
      <c r="E468" s="60"/>
      <c r="F468" s="61">
        <v>3</v>
      </c>
      <c r="G468" s="61">
        <v>191</v>
      </c>
      <c r="H468" s="81">
        <f t="shared" si="0"/>
        <v>0.41431670281995664</v>
      </c>
    </row>
    <row r="469" spans="1:8" ht="13">
      <c r="A469" s="49"/>
      <c r="B469" s="50"/>
      <c r="E469" s="60"/>
      <c r="F469" s="61">
        <v>4</v>
      </c>
      <c r="G469" s="61">
        <v>69</v>
      </c>
      <c r="H469" s="81">
        <f t="shared" si="0"/>
        <v>0.14967462039045554</v>
      </c>
    </row>
    <row r="470" spans="1:8" ht="13">
      <c r="A470" s="49"/>
      <c r="B470" s="50"/>
      <c r="E470" s="62">
        <v>5</v>
      </c>
      <c r="F470" s="63"/>
      <c r="G470" s="62">
        <v>0</v>
      </c>
      <c r="H470" s="64"/>
    </row>
    <row r="471" spans="1:8" ht="13">
      <c r="A471" s="49"/>
      <c r="B471" s="50"/>
      <c r="F471" s="19"/>
      <c r="G471" s="22">
        <f>SUM(G466:G470)</f>
        <v>461</v>
      </c>
      <c r="H471" s="80">
        <f>SUM(H466:H470)</f>
        <v>1</v>
      </c>
    </row>
    <row r="472" spans="1:8" ht="13">
      <c r="A472" s="49"/>
      <c r="B472" s="50"/>
      <c r="F472" s="19"/>
    </row>
    <row r="473" spans="1:8" ht="13">
      <c r="A473" s="49"/>
      <c r="B473" s="50"/>
      <c r="F473" s="19"/>
    </row>
    <row r="474" spans="1:8" ht="13">
      <c r="A474" s="49"/>
      <c r="B474" s="50"/>
      <c r="F474" s="19"/>
    </row>
    <row r="475" spans="1:8" ht="13">
      <c r="A475" s="49"/>
      <c r="B475" s="50"/>
      <c r="F475" s="19"/>
    </row>
    <row r="476" spans="1:8" ht="13">
      <c r="A476" s="49"/>
      <c r="B476" s="50"/>
      <c r="F476" s="19"/>
    </row>
    <row r="477" spans="1:8" ht="13">
      <c r="A477" s="49"/>
      <c r="B477" s="50"/>
      <c r="F477" s="19"/>
    </row>
    <row r="478" spans="1:8" ht="13">
      <c r="A478" s="49"/>
      <c r="B478" s="50"/>
      <c r="F478" s="19"/>
    </row>
    <row r="479" spans="1:8" ht="13">
      <c r="A479" s="49"/>
      <c r="B479" s="50"/>
      <c r="F479" s="19"/>
    </row>
    <row r="480" spans="1:8" ht="13">
      <c r="A480" s="49"/>
      <c r="B480" s="50"/>
      <c r="F480" s="19"/>
    </row>
    <row r="481" spans="1:6" ht="13">
      <c r="A481" s="49"/>
      <c r="B481" s="50"/>
      <c r="F481" s="19"/>
    </row>
    <row r="482" spans="1:6" ht="13">
      <c r="A482" s="49"/>
      <c r="B482" s="50"/>
      <c r="F482" s="19"/>
    </row>
    <row r="483" spans="1:6" ht="13">
      <c r="A483" s="49"/>
      <c r="B483" s="50"/>
      <c r="F483" s="19"/>
    </row>
    <row r="484" spans="1:6" ht="13">
      <c r="A484" s="49"/>
      <c r="B484" s="50"/>
      <c r="F484" s="19"/>
    </row>
    <row r="485" spans="1:6" ht="13">
      <c r="A485" s="49"/>
      <c r="B485" s="50"/>
      <c r="F485" s="19"/>
    </row>
    <row r="486" spans="1:6" ht="13">
      <c r="A486" s="49"/>
      <c r="B486" s="50"/>
      <c r="F486" s="19"/>
    </row>
    <row r="487" spans="1:6" ht="13">
      <c r="A487" s="49"/>
      <c r="B487" s="50"/>
      <c r="F487" s="19"/>
    </row>
    <row r="488" spans="1:6" ht="13">
      <c r="A488" s="49"/>
      <c r="B488" s="50"/>
      <c r="F488" s="19"/>
    </row>
    <row r="489" spans="1:6" ht="13">
      <c r="A489" s="49"/>
      <c r="B489" s="50"/>
      <c r="F489" s="19"/>
    </row>
    <row r="490" spans="1:6" ht="13">
      <c r="A490" s="49"/>
      <c r="B490" s="50"/>
      <c r="F490" s="19"/>
    </row>
    <row r="491" spans="1:6" ht="13">
      <c r="A491" s="49"/>
      <c r="B491" s="50"/>
      <c r="F491" s="19"/>
    </row>
    <row r="492" spans="1:6" ht="13">
      <c r="A492" s="49"/>
      <c r="B492" s="50"/>
      <c r="F492" s="19"/>
    </row>
    <row r="493" spans="1:6" ht="13">
      <c r="A493" s="49"/>
      <c r="B493" s="50"/>
      <c r="F493" s="19"/>
    </row>
    <row r="494" spans="1:6" ht="13">
      <c r="A494" s="49"/>
      <c r="B494" s="50"/>
      <c r="F494" s="19"/>
    </row>
    <row r="495" spans="1:6" ht="13">
      <c r="A495" s="49"/>
      <c r="B495" s="50"/>
      <c r="F495" s="19"/>
    </row>
    <row r="496" spans="1:6" ht="13">
      <c r="A496" s="49"/>
      <c r="B496" s="50"/>
      <c r="F496" s="19"/>
    </row>
    <row r="497" spans="1:6" ht="13">
      <c r="A497" s="49"/>
      <c r="B497" s="50"/>
      <c r="F497" s="19"/>
    </row>
    <row r="498" spans="1:6" ht="13">
      <c r="A498" s="49"/>
      <c r="B498" s="50"/>
      <c r="F498" s="19"/>
    </row>
    <row r="499" spans="1:6" ht="13">
      <c r="A499" s="49"/>
      <c r="B499" s="50"/>
      <c r="F499" s="19"/>
    </row>
    <row r="500" spans="1:6" ht="13">
      <c r="A500" s="49"/>
      <c r="B500" s="50"/>
      <c r="F500" s="19"/>
    </row>
    <row r="501" spans="1:6" ht="13">
      <c r="A501" s="49"/>
      <c r="B501" s="50"/>
      <c r="F501" s="19"/>
    </row>
    <row r="502" spans="1:6" ht="13">
      <c r="A502" s="49"/>
      <c r="B502" s="50"/>
      <c r="F502" s="19"/>
    </row>
    <row r="503" spans="1:6" ht="13">
      <c r="A503" s="49"/>
      <c r="B503" s="50"/>
      <c r="F503" s="19"/>
    </row>
    <row r="504" spans="1:6" ht="13">
      <c r="A504" s="49"/>
      <c r="B504" s="50"/>
      <c r="F504" s="19"/>
    </row>
    <row r="505" spans="1:6" ht="13">
      <c r="A505" s="49"/>
      <c r="B505" s="50"/>
      <c r="F505" s="19"/>
    </row>
    <row r="506" spans="1:6" ht="13">
      <c r="A506" s="49"/>
      <c r="B506" s="50"/>
      <c r="F506" s="19"/>
    </row>
    <row r="507" spans="1:6" ht="13">
      <c r="A507" s="49"/>
      <c r="B507" s="50"/>
      <c r="F507" s="19"/>
    </row>
    <row r="508" spans="1:6" ht="13">
      <c r="A508" s="49"/>
      <c r="B508" s="50"/>
      <c r="F508" s="19"/>
    </row>
    <row r="509" spans="1:6" ht="13">
      <c r="A509" s="49"/>
      <c r="B509" s="50"/>
      <c r="F509" s="19"/>
    </row>
    <row r="510" spans="1:6" ht="13">
      <c r="A510" s="49"/>
      <c r="B510" s="50"/>
      <c r="F510" s="19"/>
    </row>
    <row r="511" spans="1:6" ht="13">
      <c r="A511" s="49"/>
      <c r="B511" s="50"/>
      <c r="F511" s="19"/>
    </row>
    <row r="512" spans="1:6" ht="13">
      <c r="A512" s="49"/>
      <c r="B512" s="50"/>
      <c r="F512" s="19"/>
    </row>
    <row r="513" spans="1:6" ht="13">
      <c r="A513" s="49"/>
      <c r="B513" s="50"/>
      <c r="F513" s="19"/>
    </row>
    <row r="514" spans="1:6" ht="13">
      <c r="A514" s="49"/>
      <c r="B514" s="50"/>
      <c r="F514" s="19"/>
    </row>
    <row r="515" spans="1:6" ht="13">
      <c r="A515" s="49"/>
      <c r="B515" s="50"/>
      <c r="F515" s="19"/>
    </row>
    <row r="516" spans="1:6" ht="13">
      <c r="A516" s="49"/>
      <c r="B516" s="50"/>
      <c r="F516" s="19"/>
    </row>
    <row r="517" spans="1:6" ht="13">
      <c r="A517" s="49"/>
      <c r="B517" s="50"/>
      <c r="F517" s="19"/>
    </row>
    <row r="518" spans="1:6" ht="13">
      <c r="A518" s="49"/>
      <c r="B518" s="50"/>
      <c r="F518" s="19"/>
    </row>
    <row r="519" spans="1:6" ht="13">
      <c r="A519" s="49"/>
      <c r="B519" s="50"/>
      <c r="F519" s="19"/>
    </row>
    <row r="520" spans="1:6" ht="13">
      <c r="A520" s="49"/>
      <c r="B520" s="50"/>
      <c r="F520" s="19"/>
    </row>
    <row r="521" spans="1:6" ht="13">
      <c r="A521" s="49"/>
      <c r="B521" s="50"/>
      <c r="F521" s="19"/>
    </row>
    <row r="522" spans="1:6" ht="13">
      <c r="A522" s="49"/>
      <c r="B522" s="50"/>
      <c r="F522" s="19"/>
    </row>
    <row r="523" spans="1:6" ht="13">
      <c r="A523" s="49"/>
      <c r="B523" s="50"/>
      <c r="F523" s="19"/>
    </row>
    <row r="524" spans="1:6" ht="13">
      <c r="A524" s="49"/>
      <c r="B524" s="50"/>
      <c r="F524" s="19"/>
    </row>
    <row r="525" spans="1:6" ht="13">
      <c r="A525" s="49"/>
      <c r="B525" s="50"/>
      <c r="F525" s="19"/>
    </row>
    <row r="526" spans="1:6" ht="13">
      <c r="A526" s="49"/>
      <c r="B526" s="50"/>
      <c r="F526" s="19"/>
    </row>
    <row r="527" spans="1:6" ht="13">
      <c r="A527" s="49"/>
      <c r="B527" s="50"/>
      <c r="F527" s="19"/>
    </row>
    <row r="528" spans="1:6" ht="13">
      <c r="A528" s="49"/>
      <c r="B528" s="50"/>
      <c r="F528" s="19"/>
    </row>
    <row r="529" spans="1:6" ht="13">
      <c r="A529" s="49"/>
      <c r="B529" s="50"/>
      <c r="F529" s="19"/>
    </row>
    <row r="530" spans="1:6" ht="13">
      <c r="A530" s="49"/>
      <c r="B530" s="50"/>
      <c r="F530" s="19"/>
    </row>
    <row r="531" spans="1:6" ht="13">
      <c r="A531" s="49"/>
      <c r="B531" s="50"/>
      <c r="F531" s="19"/>
    </row>
    <row r="532" spans="1:6" ht="13">
      <c r="A532" s="49"/>
      <c r="B532" s="50"/>
      <c r="F532" s="19"/>
    </row>
    <row r="533" spans="1:6" ht="13">
      <c r="A533" s="49"/>
      <c r="B533" s="50"/>
      <c r="F533" s="19"/>
    </row>
    <row r="534" spans="1:6" ht="13">
      <c r="A534" s="49"/>
      <c r="B534" s="50"/>
      <c r="F534" s="19"/>
    </row>
    <row r="535" spans="1:6" ht="13">
      <c r="A535" s="49"/>
      <c r="B535" s="50"/>
      <c r="F535" s="19"/>
    </row>
    <row r="536" spans="1:6" ht="13">
      <c r="A536" s="49"/>
      <c r="B536" s="50"/>
      <c r="F536" s="19"/>
    </row>
    <row r="537" spans="1:6" ht="13">
      <c r="A537" s="49"/>
      <c r="B537" s="50"/>
      <c r="F537" s="19"/>
    </row>
    <row r="538" spans="1:6" ht="13">
      <c r="A538" s="49"/>
      <c r="B538" s="50"/>
      <c r="F538" s="19"/>
    </row>
    <row r="539" spans="1:6" ht="13">
      <c r="A539" s="49"/>
      <c r="B539" s="50"/>
      <c r="F539" s="19"/>
    </row>
    <row r="540" spans="1:6" ht="13">
      <c r="A540" s="49"/>
      <c r="B540" s="50"/>
      <c r="F540" s="19"/>
    </row>
    <row r="541" spans="1:6" ht="13">
      <c r="A541" s="49"/>
      <c r="B541" s="50"/>
      <c r="F541" s="19"/>
    </row>
    <row r="542" spans="1:6" ht="13">
      <c r="A542" s="49"/>
      <c r="B542" s="50"/>
      <c r="F542" s="19"/>
    </row>
    <row r="543" spans="1:6" ht="13">
      <c r="A543" s="49"/>
      <c r="B543" s="50"/>
      <c r="F543" s="19"/>
    </row>
    <row r="544" spans="1:6" ht="13">
      <c r="A544" s="49"/>
      <c r="B544" s="50"/>
      <c r="F544" s="19"/>
    </row>
    <row r="545" spans="1:6" ht="13">
      <c r="A545" s="49"/>
      <c r="B545" s="50"/>
      <c r="F545" s="19"/>
    </row>
    <row r="546" spans="1:6" ht="13">
      <c r="A546" s="49"/>
      <c r="B546" s="50"/>
      <c r="F546" s="19"/>
    </row>
    <row r="547" spans="1:6" ht="13">
      <c r="A547" s="49"/>
      <c r="B547" s="50"/>
      <c r="F547" s="19"/>
    </row>
    <row r="548" spans="1:6" ht="13">
      <c r="A548" s="49"/>
      <c r="B548" s="50"/>
      <c r="F548" s="19"/>
    </row>
    <row r="549" spans="1:6" ht="13">
      <c r="A549" s="49"/>
      <c r="B549" s="50"/>
      <c r="F549" s="19"/>
    </row>
    <row r="550" spans="1:6" ht="13">
      <c r="A550" s="49"/>
      <c r="B550" s="50"/>
      <c r="F550" s="19"/>
    </row>
    <row r="551" spans="1:6" ht="13">
      <c r="A551" s="49"/>
      <c r="B551" s="50"/>
      <c r="F551" s="19"/>
    </row>
    <row r="552" spans="1:6" ht="13">
      <c r="A552" s="49"/>
      <c r="B552" s="50"/>
      <c r="F552" s="19"/>
    </row>
    <row r="553" spans="1:6" ht="13">
      <c r="A553" s="49"/>
      <c r="B553" s="50"/>
      <c r="F553" s="19"/>
    </row>
    <row r="554" spans="1:6" ht="13">
      <c r="A554" s="49"/>
      <c r="B554" s="50"/>
      <c r="F554" s="19"/>
    </row>
    <row r="555" spans="1:6" ht="13">
      <c r="A555" s="49"/>
      <c r="B555" s="50"/>
      <c r="F555" s="19"/>
    </row>
    <row r="556" spans="1:6" ht="13">
      <c r="A556" s="49"/>
      <c r="B556" s="50"/>
      <c r="F556" s="19"/>
    </row>
    <row r="557" spans="1:6" ht="13">
      <c r="A557" s="49"/>
      <c r="B557" s="50"/>
      <c r="F557" s="19"/>
    </row>
    <row r="558" spans="1:6" ht="13">
      <c r="A558" s="49"/>
      <c r="B558" s="50"/>
      <c r="F558" s="19"/>
    </row>
    <row r="559" spans="1:6" ht="13">
      <c r="A559" s="49"/>
      <c r="B559" s="50"/>
      <c r="F559" s="19"/>
    </row>
    <row r="560" spans="1:6" ht="13">
      <c r="A560" s="49"/>
      <c r="B560" s="50"/>
      <c r="F560" s="19"/>
    </row>
    <row r="561" spans="1:6" ht="13">
      <c r="A561" s="49"/>
      <c r="B561" s="50"/>
      <c r="F561" s="19"/>
    </row>
    <row r="562" spans="1:6" ht="13">
      <c r="A562" s="49"/>
      <c r="B562" s="50"/>
      <c r="F562" s="19"/>
    </row>
    <row r="563" spans="1:6" ht="13">
      <c r="A563" s="49"/>
      <c r="B563" s="50"/>
      <c r="F563" s="19"/>
    </row>
    <row r="564" spans="1:6" ht="13">
      <c r="A564" s="49"/>
      <c r="B564" s="50"/>
      <c r="F564" s="19"/>
    </row>
    <row r="565" spans="1:6" ht="13">
      <c r="A565" s="49"/>
      <c r="B565" s="50"/>
      <c r="F565" s="19"/>
    </row>
    <row r="566" spans="1:6" ht="13">
      <c r="A566" s="49"/>
      <c r="B566" s="50"/>
      <c r="F566" s="19"/>
    </row>
    <row r="567" spans="1:6" ht="13">
      <c r="A567" s="49"/>
      <c r="B567" s="50"/>
      <c r="F567" s="19"/>
    </row>
    <row r="568" spans="1:6" ht="13">
      <c r="A568" s="49"/>
      <c r="B568" s="50"/>
      <c r="F568" s="19"/>
    </row>
    <row r="569" spans="1:6" ht="13">
      <c r="A569" s="49"/>
      <c r="B569" s="50"/>
      <c r="F569" s="19"/>
    </row>
    <row r="570" spans="1:6" ht="13">
      <c r="A570" s="49"/>
      <c r="B570" s="50"/>
      <c r="F570" s="19"/>
    </row>
    <row r="571" spans="1:6" ht="13">
      <c r="A571" s="49"/>
      <c r="B571" s="50"/>
      <c r="F571" s="19"/>
    </row>
    <row r="572" spans="1:6" ht="13">
      <c r="A572" s="49"/>
      <c r="B572" s="50"/>
      <c r="F572" s="19"/>
    </row>
    <row r="573" spans="1:6" ht="13">
      <c r="A573" s="49"/>
      <c r="B573" s="50"/>
      <c r="F573" s="19"/>
    </row>
    <row r="574" spans="1:6" ht="13">
      <c r="A574" s="49"/>
      <c r="B574" s="50"/>
      <c r="F574" s="19"/>
    </row>
    <row r="575" spans="1:6" ht="13">
      <c r="A575" s="49"/>
      <c r="B575" s="50"/>
      <c r="F575" s="19"/>
    </row>
    <row r="576" spans="1:6" ht="13">
      <c r="A576" s="49"/>
      <c r="B576" s="50"/>
      <c r="F576" s="19"/>
    </row>
    <row r="577" spans="1:6" ht="13">
      <c r="A577" s="49"/>
      <c r="B577" s="50"/>
      <c r="F577" s="19"/>
    </row>
    <row r="578" spans="1:6" ht="13">
      <c r="A578" s="49"/>
      <c r="B578" s="50"/>
      <c r="F578" s="19"/>
    </row>
    <row r="579" spans="1:6" ht="13">
      <c r="A579" s="49"/>
      <c r="B579" s="50"/>
      <c r="F579" s="19"/>
    </row>
    <row r="580" spans="1:6" ht="13">
      <c r="A580" s="49"/>
      <c r="B580" s="50"/>
      <c r="F580" s="19"/>
    </row>
    <row r="581" spans="1:6" ht="13">
      <c r="A581" s="49"/>
      <c r="B581" s="50"/>
      <c r="F581" s="19"/>
    </row>
    <row r="582" spans="1:6" ht="13">
      <c r="A582" s="49"/>
      <c r="B582" s="50"/>
      <c r="F582" s="19"/>
    </row>
    <row r="583" spans="1:6" ht="13">
      <c r="A583" s="49"/>
      <c r="B583" s="50"/>
      <c r="F583" s="19"/>
    </row>
    <row r="584" spans="1:6" ht="13">
      <c r="A584" s="49"/>
      <c r="B584" s="50"/>
      <c r="F584" s="19"/>
    </row>
    <row r="585" spans="1:6" ht="13">
      <c r="A585" s="49"/>
      <c r="B585" s="50"/>
      <c r="F585" s="19"/>
    </row>
    <row r="586" spans="1:6" ht="13">
      <c r="A586" s="49"/>
      <c r="B586" s="50"/>
      <c r="F586" s="19"/>
    </row>
    <row r="587" spans="1:6" ht="13">
      <c r="A587" s="49"/>
      <c r="B587" s="50"/>
      <c r="F587" s="19"/>
    </row>
    <row r="588" spans="1:6" ht="13">
      <c r="A588" s="49"/>
      <c r="B588" s="50"/>
      <c r="F588" s="19"/>
    </row>
    <row r="589" spans="1:6" ht="13">
      <c r="A589" s="49"/>
      <c r="B589" s="50"/>
      <c r="F589" s="19"/>
    </row>
    <row r="590" spans="1:6" ht="13">
      <c r="A590" s="49"/>
      <c r="B590" s="50"/>
      <c r="F590" s="19"/>
    </row>
    <row r="591" spans="1:6" ht="13">
      <c r="A591" s="49"/>
      <c r="B591" s="50"/>
      <c r="F591" s="19"/>
    </row>
    <row r="592" spans="1:6" ht="13">
      <c r="A592" s="49"/>
      <c r="B592" s="50"/>
      <c r="F592" s="19"/>
    </row>
    <row r="593" spans="1:6" ht="13">
      <c r="A593" s="49"/>
      <c r="B593" s="50"/>
      <c r="F593" s="19"/>
    </row>
    <row r="594" spans="1:6" ht="13">
      <c r="A594" s="49"/>
      <c r="B594" s="50"/>
      <c r="F594" s="19"/>
    </row>
    <row r="595" spans="1:6" ht="13">
      <c r="A595" s="49"/>
      <c r="B595" s="50"/>
      <c r="F595" s="19"/>
    </row>
    <row r="596" spans="1:6" ht="13">
      <c r="A596" s="49"/>
      <c r="B596" s="50"/>
      <c r="F596" s="19"/>
    </row>
    <row r="597" spans="1:6" ht="13">
      <c r="A597" s="49"/>
      <c r="B597" s="50"/>
      <c r="F597" s="19"/>
    </row>
    <row r="598" spans="1:6" ht="13">
      <c r="A598" s="49"/>
      <c r="B598" s="50"/>
      <c r="F598" s="19"/>
    </row>
    <row r="599" spans="1:6" ht="13">
      <c r="A599" s="49"/>
      <c r="B599" s="50"/>
      <c r="F599" s="19"/>
    </row>
    <row r="600" spans="1:6" ht="13">
      <c r="A600" s="49"/>
      <c r="B600" s="50"/>
      <c r="F600" s="19"/>
    </row>
    <row r="601" spans="1:6" ht="13">
      <c r="A601" s="49"/>
      <c r="B601" s="50"/>
      <c r="F601" s="19"/>
    </row>
    <row r="602" spans="1:6" ht="13">
      <c r="A602" s="49"/>
      <c r="B602" s="50"/>
      <c r="F602" s="19"/>
    </row>
    <row r="603" spans="1:6" ht="13">
      <c r="A603" s="49"/>
      <c r="B603" s="50"/>
      <c r="F603" s="19"/>
    </row>
    <row r="604" spans="1:6" ht="13">
      <c r="A604" s="49"/>
      <c r="B604" s="50"/>
      <c r="F604" s="19"/>
    </row>
    <row r="605" spans="1:6" ht="13">
      <c r="A605" s="49"/>
      <c r="B605" s="50"/>
      <c r="F605" s="19"/>
    </row>
    <row r="606" spans="1:6" ht="13">
      <c r="A606" s="49"/>
      <c r="B606" s="50"/>
      <c r="F606" s="19"/>
    </row>
    <row r="607" spans="1:6" ht="13">
      <c r="A607" s="49"/>
      <c r="B607" s="50"/>
      <c r="F607" s="19"/>
    </row>
    <row r="608" spans="1:6" ht="13">
      <c r="A608" s="49"/>
      <c r="B608" s="50"/>
      <c r="F608" s="19"/>
    </row>
    <row r="609" spans="1:6" ht="13">
      <c r="A609" s="49"/>
      <c r="B609" s="50"/>
      <c r="F609" s="19"/>
    </row>
    <row r="610" spans="1:6" ht="13">
      <c r="A610" s="49"/>
      <c r="B610" s="50"/>
      <c r="F610" s="19"/>
    </row>
    <row r="611" spans="1:6" ht="13">
      <c r="A611" s="49"/>
      <c r="B611" s="50"/>
      <c r="F611" s="19"/>
    </row>
    <row r="612" spans="1:6" ht="13">
      <c r="A612" s="49"/>
      <c r="B612" s="50"/>
      <c r="F612" s="19"/>
    </row>
    <row r="613" spans="1:6" ht="13">
      <c r="A613" s="49"/>
      <c r="B613" s="50"/>
      <c r="F613" s="19"/>
    </row>
    <row r="614" spans="1:6" ht="13">
      <c r="A614" s="49"/>
      <c r="B614" s="50"/>
      <c r="F614" s="19"/>
    </row>
    <row r="615" spans="1:6" ht="13">
      <c r="A615" s="49"/>
      <c r="B615" s="50"/>
      <c r="F615" s="19"/>
    </row>
    <row r="616" spans="1:6" ht="13">
      <c r="A616" s="49"/>
      <c r="B616" s="50"/>
      <c r="F616" s="19"/>
    </row>
    <row r="617" spans="1:6" ht="13">
      <c r="A617" s="49"/>
      <c r="B617" s="50"/>
      <c r="F617" s="19"/>
    </row>
    <row r="618" spans="1:6" ht="13">
      <c r="A618" s="49"/>
      <c r="B618" s="50"/>
      <c r="F618" s="19"/>
    </row>
    <row r="619" spans="1:6" ht="13">
      <c r="A619" s="49"/>
      <c r="B619" s="50"/>
      <c r="F619" s="19"/>
    </row>
    <row r="620" spans="1:6" ht="13">
      <c r="A620" s="49"/>
      <c r="B620" s="50"/>
      <c r="F620" s="19"/>
    </row>
    <row r="621" spans="1:6" ht="13">
      <c r="A621" s="49"/>
      <c r="B621" s="50"/>
      <c r="F621" s="19"/>
    </row>
    <row r="622" spans="1:6" ht="13">
      <c r="A622" s="49"/>
      <c r="B622" s="50"/>
      <c r="F622" s="19"/>
    </row>
    <row r="623" spans="1:6" ht="13">
      <c r="A623" s="49"/>
      <c r="B623" s="50"/>
      <c r="F623" s="19"/>
    </row>
    <row r="624" spans="1:6" ht="13">
      <c r="A624" s="49"/>
      <c r="B624" s="50"/>
      <c r="F624" s="19"/>
    </row>
    <row r="625" spans="1:6" ht="13">
      <c r="A625" s="49"/>
      <c r="B625" s="50"/>
      <c r="F625" s="19"/>
    </row>
    <row r="626" spans="1:6" ht="13">
      <c r="A626" s="49"/>
      <c r="B626" s="50"/>
      <c r="F626" s="19"/>
    </row>
    <row r="627" spans="1:6" ht="13">
      <c r="A627" s="49"/>
      <c r="B627" s="50"/>
      <c r="F627" s="19"/>
    </row>
    <row r="628" spans="1:6" ht="13">
      <c r="A628" s="49"/>
      <c r="B628" s="50"/>
      <c r="F628" s="19"/>
    </row>
    <row r="629" spans="1:6" ht="13">
      <c r="A629" s="49"/>
      <c r="B629" s="50"/>
      <c r="F629" s="19"/>
    </row>
    <row r="630" spans="1:6" ht="13">
      <c r="A630" s="49"/>
      <c r="B630" s="50"/>
      <c r="F630" s="19"/>
    </row>
    <row r="631" spans="1:6" ht="13">
      <c r="A631" s="49"/>
      <c r="B631" s="50"/>
      <c r="F631" s="19"/>
    </row>
    <row r="632" spans="1:6" ht="13">
      <c r="A632" s="49"/>
      <c r="B632" s="50"/>
      <c r="F632" s="19"/>
    </row>
    <row r="633" spans="1:6" ht="13">
      <c r="A633" s="49"/>
      <c r="B633" s="50"/>
      <c r="F633" s="19"/>
    </row>
    <row r="634" spans="1:6" ht="13">
      <c r="A634" s="49"/>
      <c r="B634" s="50"/>
      <c r="F634" s="19"/>
    </row>
    <row r="635" spans="1:6" ht="13">
      <c r="A635" s="49"/>
      <c r="B635" s="50"/>
      <c r="F635" s="19"/>
    </row>
    <row r="636" spans="1:6" ht="13">
      <c r="A636" s="49"/>
      <c r="B636" s="50"/>
      <c r="F636" s="19"/>
    </row>
    <row r="637" spans="1:6" ht="13">
      <c r="A637" s="49"/>
      <c r="B637" s="50"/>
      <c r="F637" s="19"/>
    </row>
    <row r="638" spans="1:6" ht="13">
      <c r="A638" s="49"/>
      <c r="B638" s="50"/>
      <c r="F638" s="19"/>
    </row>
    <row r="639" spans="1:6" ht="13">
      <c r="A639" s="49"/>
      <c r="B639" s="50"/>
      <c r="F639" s="19"/>
    </row>
    <row r="640" spans="1:6" ht="13">
      <c r="A640" s="49"/>
      <c r="B640" s="50"/>
      <c r="F640" s="19"/>
    </row>
    <row r="641" spans="1:6" ht="13">
      <c r="A641" s="49"/>
      <c r="B641" s="50"/>
      <c r="F641" s="19"/>
    </row>
    <row r="642" spans="1:6" ht="13">
      <c r="A642" s="49"/>
      <c r="B642" s="50"/>
      <c r="F642" s="19"/>
    </row>
    <row r="643" spans="1:6" ht="13">
      <c r="A643" s="49"/>
      <c r="B643" s="50"/>
      <c r="F643" s="19"/>
    </row>
    <row r="644" spans="1:6" ht="13">
      <c r="A644" s="49"/>
      <c r="B644" s="50"/>
      <c r="F644" s="19"/>
    </row>
    <row r="645" spans="1:6" ht="13">
      <c r="A645" s="49"/>
      <c r="B645" s="50"/>
      <c r="F645" s="19"/>
    </row>
    <row r="646" spans="1:6" ht="13">
      <c r="A646" s="49"/>
      <c r="B646" s="50"/>
      <c r="F646" s="19"/>
    </row>
    <row r="647" spans="1:6" ht="13">
      <c r="A647" s="49"/>
      <c r="B647" s="50"/>
      <c r="F647" s="19"/>
    </row>
    <row r="648" spans="1:6" ht="13">
      <c r="A648" s="49"/>
      <c r="B648" s="50"/>
      <c r="F648" s="19"/>
    </row>
    <row r="649" spans="1:6" ht="13">
      <c r="A649" s="49"/>
      <c r="B649" s="50"/>
      <c r="F649" s="19"/>
    </row>
    <row r="650" spans="1:6" ht="13">
      <c r="A650" s="49"/>
      <c r="B650" s="50"/>
      <c r="F650" s="19"/>
    </row>
    <row r="651" spans="1:6" ht="13">
      <c r="A651" s="49"/>
      <c r="B651" s="50"/>
      <c r="F651" s="19"/>
    </row>
    <row r="652" spans="1:6" ht="13">
      <c r="A652" s="49"/>
      <c r="B652" s="50"/>
      <c r="F652" s="19"/>
    </row>
    <row r="653" spans="1:6" ht="13">
      <c r="A653" s="49"/>
      <c r="B653" s="50"/>
      <c r="F653" s="19"/>
    </row>
    <row r="654" spans="1:6" ht="13">
      <c r="A654" s="49"/>
      <c r="B654" s="50"/>
      <c r="F654" s="19"/>
    </row>
    <row r="655" spans="1:6" ht="13">
      <c r="A655" s="49"/>
      <c r="B655" s="50"/>
      <c r="F655" s="19"/>
    </row>
    <row r="656" spans="1:6" ht="13">
      <c r="A656" s="49"/>
      <c r="B656" s="50"/>
      <c r="F656" s="19"/>
    </row>
    <row r="657" spans="1:6" ht="13">
      <c r="A657" s="49"/>
      <c r="B657" s="50"/>
      <c r="F657" s="19"/>
    </row>
    <row r="658" spans="1:6" ht="13">
      <c r="A658" s="49"/>
      <c r="B658" s="50"/>
      <c r="F658" s="19"/>
    </row>
    <row r="659" spans="1:6" ht="13">
      <c r="A659" s="49"/>
      <c r="B659" s="50"/>
      <c r="F659" s="19"/>
    </row>
    <row r="660" spans="1:6" ht="13">
      <c r="A660" s="49"/>
      <c r="B660" s="50"/>
      <c r="F660" s="19"/>
    </row>
    <row r="661" spans="1:6" ht="13">
      <c r="A661" s="49"/>
      <c r="B661" s="50"/>
      <c r="F661" s="19"/>
    </row>
    <row r="662" spans="1:6" ht="13">
      <c r="A662" s="49"/>
      <c r="B662" s="50"/>
      <c r="F662" s="19"/>
    </row>
    <row r="663" spans="1:6" ht="13">
      <c r="A663" s="49"/>
      <c r="B663" s="50"/>
      <c r="F663" s="19"/>
    </row>
    <row r="664" spans="1:6" ht="13">
      <c r="A664" s="49"/>
      <c r="B664" s="50"/>
      <c r="F664" s="19"/>
    </row>
    <row r="665" spans="1:6" ht="13">
      <c r="A665" s="49"/>
      <c r="B665" s="50"/>
      <c r="F665" s="19"/>
    </row>
    <row r="666" spans="1:6" ht="13">
      <c r="A666" s="49"/>
      <c r="B666" s="50"/>
      <c r="F666" s="19"/>
    </row>
    <row r="667" spans="1:6" ht="13">
      <c r="A667" s="49"/>
      <c r="B667" s="50"/>
      <c r="F667" s="19"/>
    </row>
    <row r="668" spans="1:6" ht="13">
      <c r="A668" s="49"/>
      <c r="B668" s="50"/>
      <c r="F668" s="19"/>
    </row>
    <row r="669" spans="1:6" ht="13">
      <c r="A669" s="49"/>
      <c r="B669" s="50"/>
      <c r="F669" s="19"/>
    </row>
    <row r="670" spans="1:6" ht="13">
      <c r="A670" s="49"/>
      <c r="B670" s="50"/>
      <c r="F670" s="19"/>
    </row>
    <row r="671" spans="1:6" ht="13">
      <c r="A671" s="49"/>
      <c r="B671" s="50"/>
      <c r="F671" s="19"/>
    </row>
    <row r="672" spans="1:6" ht="13">
      <c r="A672" s="49"/>
      <c r="B672" s="50"/>
      <c r="F672" s="19"/>
    </row>
    <row r="673" spans="1:6" ht="13">
      <c r="A673" s="49"/>
      <c r="B673" s="50"/>
      <c r="F673" s="19"/>
    </row>
    <row r="674" spans="1:6" ht="13">
      <c r="A674" s="49"/>
      <c r="B674" s="50"/>
      <c r="F674" s="19"/>
    </row>
    <row r="675" spans="1:6" ht="13">
      <c r="A675" s="49"/>
      <c r="B675" s="50"/>
      <c r="F675" s="19"/>
    </row>
    <row r="676" spans="1:6" ht="13">
      <c r="A676" s="49"/>
      <c r="B676" s="50"/>
      <c r="F676" s="19"/>
    </row>
    <row r="677" spans="1:6" ht="13">
      <c r="A677" s="49"/>
      <c r="B677" s="50"/>
      <c r="F677" s="19"/>
    </row>
    <row r="678" spans="1:6" ht="13">
      <c r="A678" s="49"/>
      <c r="B678" s="50"/>
      <c r="F678" s="19"/>
    </row>
    <row r="679" spans="1:6" ht="13">
      <c r="A679" s="49"/>
      <c r="B679" s="50"/>
      <c r="F679" s="19"/>
    </row>
    <row r="680" spans="1:6" ht="13">
      <c r="A680" s="49"/>
      <c r="B680" s="50"/>
      <c r="F680" s="19"/>
    </row>
    <row r="681" spans="1:6" ht="13">
      <c r="A681" s="49"/>
      <c r="B681" s="50"/>
      <c r="F681" s="19"/>
    </row>
    <row r="682" spans="1:6" ht="13">
      <c r="A682" s="49"/>
      <c r="B682" s="50"/>
      <c r="F682" s="19"/>
    </row>
    <row r="683" spans="1:6" ht="13">
      <c r="A683" s="49"/>
      <c r="B683" s="50"/>
      <c r="F683" s="19"/>
    </row>
    <row r="684" spans="1:6" ht="13">
      <c r="A684" s="49"/>
      <c r="B684" s="50"/>
      <c r="F684" s="19"/>
    </row>
    <row r="685" spans="1:6" ht="13">
      <c r="A685" s="49"/>
      <c r="B685" s="50"/>
      <c r="F685" s="19"/>
    </row>
    <row r="686" spans="1:6" ht="13">
      <c r="A686" s="49"/>
      <c r="B686" s="50"/>
      <c r="F686" s="19"/>
    </row>
    <row r="687" spans="1:6" ht="13">
      <c r="A687" s="49"/>
      <c r="B687" s="50"/>
      <c r="F687" s="19"/>
    </row>
    <row r="688" spans="1:6" ht="13">
      <c r="A688" s="49"/>
      <c r="B688" s="50"/>
      <c r="F688" s="19"/>
    </row>
    <row r="689" spans="1:6" ht="13">
      <c r="A689" s="49"/>
      <c r="B689" s="50"/>
      <c r="F689" s="19"/>
    </row>
    <row r="690" spans="1:6" ht="13">
      <c r="A690" s="49"/>
      <c r="B690" s="50"/>
      <c r="F690" s="19"/>
    </row>
    <row r="691" spans="1:6" ht="13">
      <c r="A691" s="49"/>
      <c r="B691" s="50"/>
      <c r="F691" s="19"/>
    </row>
    <row r="692" spans="1:6" ht="13">
      <c r="A692" s="49"/>
      <c r="B692" s="50"/>
      <c r="F692" s="19"/>
    </row>
    <row r="693" spans="1:6" ht="13">
      <c r="A693" s="49"/>
      <c r="B693" s="50"/>
      <c r="F693" s="19"/>
    </row>
    <row r="694" spans="1:6" ht="13">
      <c r="A694" s="49"/>
      <c r="B694" s="50"/>
      <c r="F694" s="19"/>
    </row>
    <row r="695" spans="1:6" ht="13">
      <c r="A695" s="49"/>
      <c r="B695" s="50"/>
      <c r="F695" s="19"/>
    </row>
    <row r="696" spans="1:6" ht="13">
      <c r="A696" s="49"/>
      <c r="B696" s="50"/>
      <c r="F696" s="19"/>
    </row>
    <row r="697" spans="1:6" ht="13">
      <c r="A697" s="49"/>
      <c r="B697" s="50"/>
      <c r="F697" s="19"/>
    </row>
    <row r="698" spans="1:6" ht="13">
      <c r="A698" s="49"/>
      <c r="B698" s="50"/>
      <c r="F698" s="19"/>
    </row>
    <row r="699" spans="1:6" ht="13">
      <c r="A699" s="49"/>
      <c r="B699" s="50"/>
      <c r="F699" s="19"/>
    </row>
    <row r="700" spans="1:6" ht="13">
      <c r="A700" s="49"/>
      <c r="B700" s="50"/>
      <c r="F700" s="19"/>
    </row>
    <row r="701" spans="1:6" ht="13">
      <c r="A701" s="49"/>
      <c r="B701" s="50"/>
      <c r="F701" s="19"/>
    </row>
    <row r="702" spans="1:6" ht="13">
      <c r="A702" s="49"/>
      <c r="B702" s="50"/>
      <c r="F702" s="19"/>
    </row>
    <row r="703" spans="1:6" ht="13">
      <c r="A703" s="49"/>
      <c r="B703" s="50"/>
      <c r="F703" s="19"/>
    </row>
    <row r="704" spans="1:6" ht="13">
      <c r="A704" s="49"/>
      <c r="B704" s="50"/>
      <c r="F704" s="19"/>
    </row>
    <row r="705" spans="1:6" ht="13">
      <c r="A705" s="49"/>
      <c r="B705" s="50"/>
      <c r="F705" s="19"/>
    </row>
    <row r="706" spans="1:6" ht="13">
      <c r="A706" s="49"/>
      <c r="B706" s="50"/>
      <c r="F706" s="19"/>
    </row>
    <row r="707" spans="1:6" ht="13">
      <c r="A707" s="49"/>
      <c r="B707" s="50"/>
      <c r="F707" s="19"/>
    </row>
    <row r="708" spans="1:6" ht="13">
      <c r="A708" s="49"/>
      <c r="B708" s="50"/>
      <c r="F708" s="19"/>
    </row>
    <row r="709" spans="1:6" ht="13">
      <c r="A709" s="49"/>
      <c r="B709" s="50"/>
      <c r="F709" s="19"/>
    </row>
    <row r="710" spans="1:6" ht="13">
      <c r="A710" s="49"/>
      <c r="B710" s="50"/>
      <c r="F710" s="19"/>
    </row>
    <row r="711" spans="1:6" ht="13">
      <c r="A711" s="49"/>
      <c r="B711" s="50"/>
      <c r="F711" s="19"/>
    </row>
    <row r="712" spans="1:6" ht="13">
      <c r="A712" s="49"/>
      <c r="B712" s="50"/>
      <c r="F712" s="19"/>
    </row>
    <row r="713" spans="1:6" ht="13">
      <c r="A713" s="49"/>
      <c r="B713" s="50"/>
      <c r="F713" s="19"/>
    </row>
    <row r="714" spans="1:6" ht="13">
      <c r="A714" s="49"/>
      <c r="B714" s="50"/>
      <c r="F714" s="19"/>
    </row>
    <row r="715" spans="1:6" ht="13">
      <c r="A715" s="49"/>
      <c r="B715" s="50"/>
      <c r="F715" s="19"/>
    </row>
    <row r="716" spans="1:6" ht="13">
      <c r="A716" s="49"/>
      <c r="B716" s="50"/>
      <c r="F716" s="19"/>
    </row>
    <row r="717" spans="1:6" ht="13">
      <c r="A717" s="49"/>
      <c r="B717" s="50"/>
      <c r="F717" s="19"/>
    </row>
    <row r="718" spans="1:6" ht="13">
      <c r="A718" s="49"/>
      <c r="B718" s="50"/>
      <c r="F718" s="19"/>
    </row>
    <row r="719" spans="1:6" ht="13">
      <c r="A719" s="49"/>
      <c r="B719" s="50"/>
      <c r="F719" s="19"/>
    </row>
    <row r="720" spans="1:6" ht="13">
      <c r="A720" s="49"/>
      <c r="B720" s="50"/>
      <c r="F720" s="19"/>
    </row>
    <row r="721" spans="1:6" ht="13">
      <c r="A721" s="49"/>
      <c r="B721" s="50"/>
      <c r="F721" s="19"/>
    </row>
    <row r="722" spans="1:6" ht="13">
      <c r="A722" s="49"/>
      <c r="B722" s="50"/>
      <c r="F722" s="19"/>
    </row>
    <row r="723" spans="1:6" ht="13">
      <c r="A723" s="49"/>
      <c r="B723" s="50"/>
      <c r="F723" s="19"/>
    </row>
    <row r="724" spans="1:6" ht="13">
      <c r="A724" s="49"/>
      <c r="B724" s="50"/>
      <c r="F724" s="19"/>
    </row>
    <row r="725" spans="1:6" ht="13">
      <c r="A725" s="49"/>
      <c r="B725" s="50"/>
      <c r="F725" s="19"/>
    </row>
    <row r="726" spans="1:6" ht="13">
      <c r="A726" s="49"/>
      <c r="B726" s="50"/>
      <c r="F726" s="19"/>
    </row>
    <row r="727" spans="1:6" ht="13">
      <c r="A727" s="49"/>
      <c r="B727" s="50"/>
      <c r="F727" s="19"/>
    </row>
    <row r="728" spans="1:6" ht="13">
      <c r="A728" s="49"/>
      <c r="B728" s="50"/>
      <c r="F728" s="19"/>
    </row>
    <row r="729" spans="1:6" ht="13">
      <c r="A729" s="49"/>
      <c r="B729" s="50"/>
      <c r="F729" s="19"/>
    </row>
    <row r="730" spans="1:6" ht="13">
      <c r="A730" s="49"/>
      <c r="B730" s="50"/>
      <c r="F730" s="19"/>
    </row>
    <row r="731" spans="1:6" ht="13">
      <c r="A731" s="49"/>
      <c r="B731" s="50"/>
      <c r="F731" s="19"/>
    </row>
    <row r="732" spans="1:6" ht="13">
      <c r="A732" s="49"/>
      <c r="B732" s="50"/>
      <c r="F732" s="19"/>
    </row>
    <row r="733" spans="1:6" ht="13">
      <c r="A733" s="49"/>
      <c r="B733" s="50"/>
      <c r="F733" s="19"/>
    </row>
    <row r="734" spans="1:6" ht="13">
      <c r="A734" s="49"/>
      <c r="B734" s="50"/>
      <c r="F734" s="19"/>
    </row>
    <row r="735" spans="1:6" ht="13">
      <c r="A735" s="49"/>
      <c r="B735" s="50"/>
      <c r="F735" s="19"/>
    </row>
    <row r="736" spans="1:6" ht="13">
      <c r="A736" s="49"/>
      <c r="B736" s="50"/>
      <c r="F736" s="19"/>
    </row>
    <row r="737" spans="1:6" ht="13">
      <c r="A737" s="49"/>
      <c r="B737" s="50"/>
      <c r="F737" s="19"/>
    </row>
    <row r="738" spans="1:6" ht="13">
      <c r="A738" s="49"/>
      <c r="B738" s="50"/>
      <c r="F738" s="19"/>
    </row>
    <row r="739" spans="1:6" ht="13">
      <c r="A739" s="49"/>
      <c r="B739" s="50"/>
      <c r="F739" s="19"/>
    </row>
    <row r="740" spans="1:6" ht="13">
      <c r="A740" s="49"/>
      <c r="B740" s="50"/>
      <c r="F740" s="19"/>
    </row>
    <row r="741" spans="1:6" ht="13">
      <c r="A741" s="49"/>
      <c r="B741" s="50"/>
      <c r="F741" s="19"/>
    </row>
    <row r="742" spans="1:6" ht="13">
      <c r="A742" s="49"/>
      <c r="B742" s="50"/>
      <c r="F742" s="19"/>
    </row>
    <row r="743" spans="1:6" ht="13">
      <c r="A743" s="49"/>
      <c r="B743" s="50"/>
      <c r="F743" s="19"/>
    </row>
    <row r="744" spans="1:6" ht="13">
      <c r="A744" s="49"/>
      <c r="B744" s="50"/>
      <c r="F744" s="19"/>
    </row>
    <row r="745" spans="1:6" ht="13">
      <c r="A745" s="49"/>
      <c r="B745" s="50"/>
      <c r="F745" s="19"/>
    </row>
    <row r="746" spans="1:6" ht="13">
      <c r="A746" s="49"/>
      <c r="B746" s="50"/>
      <c r="F746" s="19"/>
    </row>
    <row r="747" spans="1:6" ht="13">
      <c r="A747" s="49"/>
      <c r="B747" s="50"/>
      <c r="F747" s="19"/>
    </row>
    <row r="748" spans="1:6" ht="13">
      <c r="A748" s="49"/>
      <c r="B748" s="50"/>
      <c r="F748" s="19"/>
    </row>
    <row r="749" spans="1:6" ht="13">
      <c r="A749" s="49"/>
      <c r="B749" s="50"/>
      <c r="F749" s="19"/>
    </row>
    <row r="750" spans="1:6" ht="13">
      <c r="A750" s="49"/>
      <c r="B750" s="50"/>
      <c r="F750" s="19"/>
    </row>
    <row r="751" spans="1:6" ht="13">
      <c r="A751" s="49"/>
      <c r="B751" s="50"/>
      <c r="F751" s="19"/>
    </row>
    <row r="752" spans="1:6" ht="13">
      <c r="A752" s="49"/>
      <c r="B752" s="50"/>
      <c r="F752" s="19"/>
    </row>
    <row r="753" spans="1:6" ht="13">
      <c r="A753" s="49"/>
      <c r="B753" s="50"/>
      <c r="F753" s="19"/>
    </row>
    <row r="754" spans="1:6" ht="13">
      <c r="A754" s="49"/>
      <c r="B754" s="50"/>
      <c r="F754" s="19"/>
    </row>
    <row r="755" spans="1:6" ht="13">
      <c r="A755" s="49"/>
      <c r="B755" s="50"/>
      <c r="F755" s="19"/>
    </row>
    <row r="756" spans="1:6" ht="13">
      <c r="A756" s="49"/>
      <c r="B756" s="50"/>
      <c r="F756" s="19"/>
    </row>
    <row r="757" spans="1:6" ht="13">
      <c r="A757" s="49"/>
      <c r="B757" s="50"/>
      <c r="F757" s="19"/>
    </row>
    <row r="758" spans="1:6" ht="13">
      <c r="A758" s="49"/>
      <c r="B758" s="50"/>
      <c r="F758" s="19"/>
    </row>
    <row r="759" spans="1:6" ht="13">
      <c r="A759" s="49"/>
      <c r="B759" s="50"/>
      <c r="F759" s="19"/>
    </row>
    <row r="760" spans="1:6" ht="13">
      <c r="A760" s="49"/>
      <c r="B760" s="50"/>
      <c r="F760" s="19"/>
    </row>
    <row r="761" spans="1:6" ht="13">
      <c r="A761" s="49"/>
      <c r="B761" s="50"/>
      <c r="F761" s="19"/>
    </row>
    <row r="762" spans="1:6" ht="13">
      <c r="A762" s="49"/>
      <c r="B762" s="50"/>
      <c r="F762" s="19"/>
    </row>
    <row r="763" spans="1:6" ht="13">
      <c r="A763" s="49"/>
      <c r="B763" s="50"/>
      <c r="F763" s="19"/>
    </row>
    <row r="764" spans="1:6" ht="13">
      <c r="A764" s="49"/>
      <c r="B764" s="50"/>
      <c r="F764" s="19"/>
    </row>
    <row r="765" spans="1:6" ht="13">
      <c r="A765" s="49"/>
      <c r="B765" s="50"/>
      <c r="F765" s="19"/>
    </row>
    <row r="766" spans="1:6" ht="13">
      <c r="A766" s="49"/>
      <c r="B766" s="50"/>
      <c r="F766" s="19"/>
    </row>
    <row r="767" spans="1:6" ht="13">
      <c r="A767" s="49"/>
      <c r="B767" s="50"/>
      <c r="F767" s="19"/>
    </row>
    <row r="768" spans="1:6" ht="13">
      <c r="A768" s="49"/>
      <c r="B768" s="50"/>
      <c r="F768" s="19"/>
    </row>
    <row r="769" spans="1:6" ht="13">
      <c r="A769" s="49"/>
      <c r="B769" s="50"/>
      <c r="F769" s="19"/>
    </row>
    <row r="770" spans="1:6" ht="13">
      <c r="A770" s="49"/>
      <c r="B770" s="50"/>
      <c r="F770" s="19"/>
    </row>
    <row r="771" spans="1:6" ht="13">
      <c r="A771" s="49"/>
      <c r="B771" s="50"/>
      <c r="F771" s="19"/>
    </row>
    <row r="772" spans="1:6" ht="13">
      <c r="A772" s="49"/>
      <c r="B772" s="50"/>
      <c r="F772" s="19"/>
    </row>
    <row r="773" spans="1:6" ht="13">
      <c r="A773" s="49"/>
      <c r="B773" s="50"/>
      <c r="F773" s="19"/>
    </row>
    <row r="774" spans="1:6" ht="13">
      <c r="A774" s="49"/>
      <c r="B774" s="50"/>
      <c r="F774" s="19"/>
    </row>
    <row r="775" spans="1:6" ht="13">
      <c r="A775" s="49"/>
      <c r="B775" s="50"/>
      <c r="F775" s="19"/>
    </row>
    <row r="776" spans="1:6" ht="13">
      <c r="A776" s="49"/>
      <c r="B776" s="50"/>
      <c r="F776" s="19"/>
    </row>
    <row r="777" spans="1:6" ht="13">
      <c r="A777" s="49"/>
      <c r="B777" s="50"/>
      <c r="F777" s="19"/>
    </row>
    <row r="778" spans="1:6" ht="13">
      <c r="A778" s="49"/>
      <c r="B778" s="50"/>
      <c r="F778" s="19"/>
    </row>
    <row r="779" spans="1:6" ht="13">
      <c r="A779" s="49"/>
      <c r="B779" s="50"/>
      <c r="F779" s="19"/>
    </row>
    <row r="780" spans="1:6" ht="13">
      <c r="A780" s="49"/>
      <c r="B780" s="50"/>
      <c r="F780" s="19"/>
    </row>
    <row r="781" spans="1:6" ht="13">
      <c r="A781" s="49"/>
      <c r="B781" s="50"/>
      <c r="F781" s="19"/>
    </row>
    <row r="782" spans="1:6" ht="13">
      <c r="A782" s="49"/>
      <c r="B782" s="50"/>
      <c r="F782" s="19"/>
    </row>
    <row r="783" spans="1:6" ht="13">
      <c r="A783" s="49"/>
      <c r="B783" s="50"/>
      <c r="F783" s="19"/>
    </row>
    <row r="784" spans="1:6" ht="13">
      <c r="A784" s="49"/>
      <c r="B784" s="50"/>
      <c r="F784" s="19"/>
    </row>
    <row r="785" spans="1:6" ht="13">
      <c r="A785" s="49"/>
      <c r="B785" s="50"/>
      <c r="F785" s="19"/>
    </row>
    <row r="786" spans="1:6" ht="13">
      <c r="A786" s="49"/>
      <c r="B786" s="50"/>
      <c r="F786" s="19"/>
    </row>
    <row r="787" spans="1:6" ht="13">
      <c r="A787" s="49"/>
      <c r="B787" s="50"/>
      <c r="F787" s="19"/>
    </row>
    <row r="788" spans="1:6" ht="13">
      <c r="A788" s="49"/>
      <c r="B788" s="50"/>
      <c r="F788" s="19"/>
    </row>
    <row r="789" spans="1:6" ht="13">
      <c r="A789" s="49"/>
      <c r="B789" s="50"/>
      <c r="F789" s="19"/>
    </row>
    <row r="790" spans="1:6" ht="13">
      <c r="A790" s="49"/>
      <c r="B790" s="50"/>
      <c r="F790" s="19"/>
    </row>
    <row r="791" spans="1:6" ht="13">
      <c r="A791" s="49"/>
      <c r="B791" s="50"/>
      <c r="F791" s="19"/>
    </row>
    <row r="792" spans="1:6" ht="13">
      <c r="A792" s="49"/>
      <c r="B792" s="50"/>
      <c r="F792" s="19"/>
    </row>
    <row r="793" spans="1:6" ht="13">
      <c r="A793" s="49"/>
      <c r="B793" s="50"/>
      <c r="F793" s="19"/>
    </row>
    <row r="794" spans="1:6" ht="13">
      <c r="A794" s="49"/>
      <c r="B794" s="50"/>
      <c r="F794" s="19"/>
    </row>
    <row r="795" spans="1:6" ht="13">
      <c r="A795" s="49"/>
      <c r="B795" s="50"/>
      <c r="F795" s="19"/>
    </row>
    <row r="796" spans="1:6" ht="13">
      <c r="A796" s="49"/>
      <c r="B796" s="50"/>
      <c r="F796" s="19"/>
    </row>
    <row r="797" spans="1:6" ht="13">
      <c r="A797" s="49"/>
      <c r="B797" s="50"/>
      <c r="F797" s="19"/>
    </row>
    <row r="798" spans="1:6" ht="13">
      <c r="A798" s="49"/>
      <c r="B798" s="50"/>
      <c r="F798" s="19"/>
    </row>
    <row r="799" spans="1:6" ht="13">
      <c r="A799" s="49"/>
      <c r="B799" s="50"/>
      <c r="F799" s="19"/>
    </row>
    <row r="800" spans="1:6" ht="13">
      <c r="A800" s="49"/>
      <c r="B800" s="50"/>
      <c r="F800" s="19"/>
    </row>
    <row r="801" spans="1:6" ht="13">
      <c r="A801" s="49"/>
      <c r="B801" s="50"/>
      <c r="F801" s="19"/>
    </row>
    <row r="802" spans="1:6" ht="13">
      <c r="A802" s="49"/>
      <c r="B802" s="50"/>
      <c r="F802" s="19"/>
    </row>
    <row r="803" spans="1:6" ht="13">
      <c r="A803" s="49"/>
      <c r="B803" s="50"/>
      <c r="F803" s="19"/>
    </row>
    <row r="804" spans="1:6" ht="13">
      <c r="A804" s="49"/>
      <c r="B804" s="50"/>
      <c r="F804" s="19"/>
    </row>
    <row r="805" spans="1:6" ht="13">
      <c r="A805" s="49"/>
      <c r="B805" s="50"/>
      <c r="F805" s="19"/>
    </row>
    <row r="806" spans="1:6" ht="13">
      <c r="A806" s="49"/>
      <c r="B806" s="50"/>
      <c r="F806" s="19"/>
    </row>
    <row r="807" spans="1:6" ht="13">
      <c r="A807" s="49"/>
      <c r="B807" s="50"/>
      <c r="F807" s="19"/>
    </row>
    <row r="808" spans="1:6" ht="13">
      <c r="A808" s="49"/>
      <c r="B808" s="50"/>
      <c r="F808" s="19"/>
    </row>
    <row r="809" spans="1:6" ht="13">
      <c r="A809" s="49"/>
      <c r="B809" s="50"/>
      <c r="F809" s="19"/>
    </row>
    <row r="810" spans="1:6" ht="13">
      <c r="A810" s="49"/>
      <c r="B810" s="50"/>
      <c r="F810" s="19"/>
    </row>
    <row r="811" spans="1:6" ht="13">
      <c r="A811" s="49"/>
      <c r="B811" s="50"/>
      <c r="F811" s="19"/>
    </row>
    <row r="812" spans="1:6" ht="13">
      <c r="A812" s="49"/>
      <c r="B812" s="50"/>
      <c r="F812" s="19"/>
    </row>
    <row r="813" spans="1:6" ht="13">
      <c r="A813" s="49"/>
      <c r="B813" s="50"/>
      <c r="F813" s="19"/>
    </row>
    <row r="814" spans="1:6" ht="13">
      <c r="A814" s="49"/>
      <c r="B814" s="50"/>
      <c r="F814" s="19"/>
    </row>
    <row r="815" spans="1:6" ht="13">
      <c r="A815" s="49"/>
      <c r="B815" s="50"/>
      <c r="F815" s="19"/>
    </row>
    <row r="816" spans="1:6" ht="13">
      <c r="A816" s="49"/>
      <c r="B816" s="50"/>
      <c r="F816" s="19"/>
    </row>
    <row r="817" spans="1:6" ht="13">
      <c r="A817" s="49"/>
      <c r="B817" s="50"/>
      <c r="F817" s="19"/>
    </row>
    <row r="818" spans="1:6" ht="13">
      <c r="A818" s="49"/>
      <c r="B818" s="50"/>
      <c r="F818" s="19"/>
    </row>
    <row r="819" spans="1:6" ht="13">
      <c r="A819" s="49"/>
      <c r="B819" s="50"/>
      <c r="F819" s="19"/>
    </row>
    <row r="820" spans="1:6" ht="13">
      <c r="A820" s="49"/>
      <c r="B820" s="50"/>
      <c r="F820" s="19"/>
    </row>
    <row r="821" spans="1:6" ht="13">
      <c r="A821" s="49"/>
      <c r="B821" s="50"/>
      <c r="F821" s="19"/>
    </row>
    <row r="822" spans="1:6" ht="13">
      <c r="A822" s="49"/>
      <c r="B822" s="50"/>
      <c r="F822" s="19"/>
    </row>
    <row r="823" spans="1:6" ht="13">
      <c r="A823" s="49"/>
      <c r="B823" s="50"/>
      <c r="F823" s="19"/>
    </row>
    <row r="824" spans="1:6" ht="13">
      <c r="A824" s="49"/>
      <c r="B824" s="50"/>
      <c r="F824" s="19"/>
    </row>
    <row r="825" spans="1:6" ht="13">
      <c r="A825" s="49"/>
      <c r="B825" s="50"/>
      <c r="F825" s="19"/>
    </row>
    <row r="826" spans="1:6" ht="13">
      <c r="A826" s="49"/>
      <c r="B826" s="50"/>
      <c r="F826" s="19"/>
    </row>
    <row r="827" spans="1:6" ht="13">
      <c r="A827" s="49"/>
      <c r="B827" s="50"/>
      <c r="F827" s="19"/>
    </row>
    <row r="828" spans="1:6" ht="13">
      <c r="A828" s="49"/>
      <c r="B828" s="50"/>
      <c r="F828" s="19"/>
    </row>
    <row r="829" spans="1:6" ht="13">
      <c r="A829" s="49"/>
      <c r="B829" s="50"/>
      <c r="F829" s="19"/>
    </row>
    <row r="830" spans="1:6" ht="13">
      <c r="A830" s="49"/>
      <c r="B830" s="50"/>
      <c r="F830" s="19"/>
    </row>
    <row r="831" spans="1:6" ht="13">
      <c r="A831" s="49"/>
      <c r="B831" s="50"/>
      <c r="F831" s="19"/>
    </row>
    <row r="832" spans="1:6" ht="13">
      <c r="A832" s="49"/>
      <c r="B832" s="50"/>
      <c r="F832" s="19"/>
    </row>
    <row r="833" spans="1:6" ht="13">
      <c r="A833" s="49"/>
      <c r="B833" s="50"/>
      <c r="F833" s="19"/>
    </row>
    <row r="834" spans="1:6" ht="13">
      <c r="A834" s="49"/>
      <c r="B834" s="50"/>
      <c r="F834" s="19"/>
    </row>
    <row r="835" spans="1:6" ht="13">
      <c r="A835" s="49"/>
      <c r="B835" s="50"/>
      <c r="F835" s="19"/>
    </row>
    <row r="836" spans="1:6" ht="13">
      <c r="A836" s="49"/>
      <c r="B836" s="50"/>
      <c r="F836" s="19"/>
    </row>
    <row r="837" spans="1:6" ht="13">
      <c r="A837" s="49"/>
      <c r="B837" s="50"/>
      <c r="F837" s="19"/>
    </row>
    <row r="838" spans="1:6" ht="13">
      <c r="A838" s="49"/>
      <c r="B838" s="50"/>
      <c r="F838" s="19"/>
    </row>
    <row r="839" spans="1:6" ht="13">
      <c r="A839" s="49"/>
      <c r="B839" s="50"/>
      <c r="F839" s="19"/>
    </row>
    <row r="840" spans="1:6" ht="13">
      <c r="A840" s="49"/>
      <c r="B840" s="50"/>
      <c r="F840" s="19"/>
    </row>
    <row r="841" spans="1:6" ht="13">
      <c r="A841" s="49"/>
      <c r="B841" s="50"/>
      <c r="F841" s="19"/>
    </row>
    <row r="842" spans="1:6" ht="13">
      <c r="A842" s="49"/>
      <c r="B842" s="50"/>
      <c r="F842" s="19"/>
    </row>
    <row r="843" spans="1:6" ht="13">
      <c r="A843" s="49"/>
      <c r="B843" s="50"/>
      <c r="F843" s="19"/>
    </row>
    <row r="844" spans="1:6" ht="13">
      <c r="A844" s="49"/>
      <c r="B844" s="50"/>
      <c r="F844" s="19"/>
    </row>
    <row r="845" spans="1:6" ht="13">
      <c r="A845" s="49"/>
      <c r="B845" s="50"/>
      <c r="F845" s="19"/>
    </row>
    <row r="846" spans="1:6" ht="13">
      <c r="A846" s="49"/>
      <c r="B846" s="50"/>
      <c r="F846" s="19"/>
    </row>
    <row r="847" spans="1:6" ht="13">
      <c r="A847" s="49"/>
      <c r="B847" s="50"/>
      <c r="F847" s="19"/>
    </row>
    <row r="848" spans="1:6" ht="13">
      <c r="A848" s="49"/>
      <c r="B848" s="50"/>
      <c r="F848" s="19"/>
    </row>
    <row r="849" spans="1:6" ht="13">
      <c r="A849" s="49"/>
      <c r="B849" s="50"/>
      <c r="F849" s="19"/>
    </row>
    <row r="850" spans="1:6" ht="13">
      <c r="A850" s="49"/>
      <c r="B850" s="50"/>
      <c r="F850" s="19"/>
    </row>
    <row r="851" spans="1:6" ht="13">
      <c r="A851" s="49"/>
      <c r="B851" s="50"/>
      <c r="F851" s="19"/>
    </row>
    <row r="852" spans="1:6" ht="13">
      <c r="A852" s="49"/>
      <c r="B852" s="50"/>
      <c r="F852" s="19"/>
    </row>
    <row r="853" spans="1:6" ht="13">
      <c r="A853" s="49"/>
      <c r="B853" s="50"/>
      <c r="F853" s="19"/>
    </row>
    <row r="854" spans="1:6" ht="13">
      <c r="A854" s="49"/>
      <c r="B854" s="50"/>
      <c r="F854" s="19"/>
    </row>
    <row r="855" spans="1:6" ht="13">
      <c r="A855" s="49"/>
      <c r="B855" s="50"/>
      <c r="F855" s="19"/>
    </row>
    <row r="856" spans="1:6" ht="13">
      <c r="A856" s="49"/>
      <c r="B856" s="50"/>
      <c r="F856" s="19"/>
    </row>
    <row r="857" spans="1:6" ht="13">
      <c r="A857" s="49"/>
      <c r="B857" s="50"/>
      <c r="F857" s="19"/>
    </row>
    <row r="858" spans="1:6" ht="13">
      <c r="A858" s="49"/>
      <c r="B858" s="50"/>
      <c r="F858" s="19"/>
    </row>
    <row r="859" spans="1:6" ht="13">
      <c r="A859" s="49"/>
      <c r="B859" s="50"/>
      <c r="F859" s="19"/>
    </row>
  </sheetData>
  <conditionalFormatting sqref="F1">
    <cfRule type="notContainsBlanks" dxfId="0" priority="1">
      <formula>LEN(TRIM(F1))&gt;0</formula>
    </cfRule>
  </conditionalFormatting>
  <hyperlinks>
    <hyperlink ref="K3" r:id="rId1" xr:uid="{00000000-0004-0000-0300-000000000000}"/>
    <hyperlink ref="K4" r:id="rId2" xr:uid="{00000000-0004-0000-0300-000001000000}"/>
    <hyperlink ref="K5" r:id="rId3" xr:uid="{00000000-0004-0000-0300-000002000000}"/>
    <hyperlink ref="K6" r:id="rId4" xr:uid="{00000000-0004-0000-0300-000003000000}"/>
    <hyperlink ref="K7" r:id="rId5" xr:uid="{00000000-0004-0000-0300-000004000000}"/>
    <hyperlink ref="K8" r:id="rId6" xr:uid="{00000000-0004-0000-0300-000005000000}"/>
    <hyperlink ref="K9" r:id="rId7" xr:uid="{00000000-0004-0000-0300-000006000000}"/>
    <hyperlink ref="K10" r:id="rId8" xr:uid="{00000000-0004-0000-0300-000007000000}"/>
    <hyperlink ref="K11" r:id="rId9" xr:uid="{00000000-0004-0000-0300-000008000000}"/>
    <hyperlink ref="K12" r:id="rId10" xr:uid="{00000000-0004-0000-0300-000009000000}"/>
    <hyperlink ref="K13" r:id="rId11" xr:uid="{00000000-0004-0000-0300-00000A000000}"/>
    <hyperlink ref="K14" r:id="rId12" xr:uid="{00000000-0004-0000-0300-00000B000000}"/>
    <hyperlink ref="K15" r:id="rId13" xr:uid="{00000000-0004-0000-0300-00000C000000}"/>
    <hyperlink ref="K16" r:id="rId14" location="page_scan_tab_contents" xr:uid="{00000000-0004-0000-0300-00000D000000}"/>
    <hyperlink ref="K17" r:id="rId15" xr:uid="{00000000-0004-0000-0300-00000E000000}"/>
    <hyperlink ref="K18" r:id="rId16" xr:uid="{00000000-0004-0000-0300-00000F000000}"/>
    <hyperlink ref="K19" r:id="rId17" xr:uid="{00000000-0004-0000-0300-000010000000}"/>
    <hyperlink ref="K20" r:id="rId18" xr:uid="{00000000-0004-0000-0300-000011000000}"/>
    <hyperlink ref="K21" r:id="rId19" xr:uid="{00000000-0004-0000-0300-000012000000}"/>
    <hyperlink ref="K22" r:id="rId20" xr:uid="{00000000-0004-0000-0300-000013000000}"/>
    <hyperlink ref="K23" r:id="rId21" xr:uid="{00000000-0004-0000-0300-000014000000}"/>
    <hyperlink ref="K24" r:id="rId22" xr:uid="{00000000-0004-0000-0300-000015000000}"/>
    <hyperlink ref="K25" r:id="rId23" xr:uid="{00000000-0004-0000-0300-000016000000}"/>
    <hyperlink ref="K26" r:id="rId24" xr:uid="{00000000-0004-0000-0300-000017000000}"/>
    <hyperlink ref="K27" r:id="rId25" xr:uid="{00000000-0004-0000-0300-000018000000}"/>
    <hyperlink ref="K28" r:id="rId26" xr:uid="{00000000-0004-0000-0300-000019000000}"/>
    <hyperlink ref="K29" r:id="rId27" xr:uid="{00000000-0004-0000-0300-00001A000000}"/>
    <hyperlink ref="K30" r:id="rId28" xr:uid="{00000000-0004-0000-0300-00001B000000}"/>
    <hyperlink ref="K31" r:id="rId29" xr:uid="{00000000-0004-0000-0300-00001C000000}"/>
    <hyperlink ref="K32" r:id="rId30" xr:uid="{00000000-0004-0000-0300-00001D000000}"/>
    <hyperlink ref="K33" r:id="rId31" xr:uid="{00000000-0004-0000-0300-00001E000000}"/>
    <hyperlink ref="K34" r:id="rId32" xr:uid="{00000000-0004-0000-0300-00001F000000}"/>
    <hyperlink ref="K35" r:id="rId33" xr:uid="{00000000-0004-0000-0300-000020000000}"/>
    <hyperlink ref="K36" r:id="rId34" xr:uid="{00000000-0004-0000-0300-000021000000}"/>
    <hyperlink ref="K37" r:id="rId35" xr:uid="{00000000-0004-0000-0300-000022000000}"/>
    <hyperlink ref="K38" r:id="rId36" xr:uid="{00000000-0004-0000-0300-000023000000}"/>
    <hyperlink ref="K39" r:id="rId37" xr:uid="{00000000-0004-0000-0300-000024000000}"/>
    <hyperlink ref="K40" r:id="rId38" xr:uid="{00000000-0004-0000-0300-000025000000}"/>
    <hyperlink ref="K41" r:id="rId39" xr:uid="{00000000-0004-0000-0300-000026000000}"/>
    <hyperlink ref="K42" r:id="rId40" xr:uid="{00000000-0004-0000-0300-000027000000}"/>
    <hyperlink ref="K43" r:id="rId41" xr:uid="{00000000-0004-0000-0300-000028000000}"/>
    <hyperlink ref="K44" r:id="rId42" xr:uid="{00000000-0004-0000-0300-000029000000}"/>
    <hyperlink ref="K45" r:id="rId43" xr:uid="{00000000-0004-0000-0300-00002A000000}"/>
    <hyperlink ref="K46" r:id="rId44" xr:uid="{00000000-0004-0000-0300-00002B000000}"/>
    <hyperlink ref="K47" r:id="rId45" xr:uid="{00000000-0004-0000-0300-00002C000000}"/>
    <hyperlink ref="K48" r:id="rId46" xr:uid="{00000000-0004-0000-0300-00002D000000}"/>
    <hyperlink ref="K49" r:id="rId47" xr:uid="{00000000-0004-0000-0300-00002E000000}"/>
    <hyperlink ref="K50" r:id="rId48" xr:uid="{00000000-0004-0000-0300-00002F000000}"/>
    <hyperlink ref="K51" r:id="rId49" xr:uid="{00000000-0004-0000-0300-000030000000}"/>
    <hyperlink ref="K52" r:id="rId50" xr:uid="{00000000-0004-0000-0300-000031000000}"/>
    <hyperlink ref="K53" r:id="rId51" xr:uid="{00000000-0004-0000-0300-000032000000}"/>
    <hyperlink ref="K54" r:id="rId52" xr:uid="{00000000-0004-0000-0300-000033000000}"/>
    <hyperlink ref="K55" r:id="rId53" xr:uid="{00000000-0004-0000-0300-000034000000}"/>
    <hyperlink ref="K56" r:id="rId54" xr:uid="{00000000-0004-0000-0300-000035000000}"/>
    <hyperlink ref="K57" r:id="rId55" xr:uid="{00000000-0004-0000-0300-000036000000}"/>
    <hyperlink ref="K58" r:id="rId56" xr:uid="{00000000-0004-0000-0300-000037000000}"/>
    <hyperlink ref="K59" r:id="rId57" xr:uid="{00000000-0004-0000-0300-000038000000}"/>
    <hyperlink ref="K60" r:id="rId58" xr:uid="{00000000-0004-0000-0300-000039000000}"/>
    <hyperlink ref="K61" r:id="rId59" xr:uid="{00000000-0004-0000-0300-00003A000000}"/>
    <hyperlink ref="K62" r:id="rId60" xr:uid="{00000000-0004-0000-0300-00003B000000}"/>
    <hyperlink ref="K63" r:id="rId61" xr:uid="{00000000-0004-0000-0300-00003C000000}"/>
    <hyperlink ref="K64" r:id="rId62" xr:uid="{00000000-0004-0000-0300-00003D000000}"/>
    <hyperlink ref="K65" r:id="rId63" xr:uid="{00000000-0004-0000-0300-00003E000000}"/>
    <hyperlink ref="K66" r:id="rId64" xr:uid="{00000000-0004-0000-0300-00003F000000}"/>
    <hyperlink ref="K67" r:id="rId65" xr:uid="{00000000-0004-0000-0300-000040000000}"/>
    <hyperlink ref="K68" r:id="rId66" xr:uid="{00000000-0004-0000-0300-000041000000}"/>
    <hyperlink ref="K69" r:id="rId67" xr:uid="{00000000-0004-0000-0300-000042000000}"/>
    <hyperlink ref="K70" r:id="rId68" xr:uid="{00000000-0004-0000-0300-000043000000}"/>
    <hyperlink ref="K71" r:id="rId69" xr:uid="{00000000-0004-0000-0300-000044000000}"/>
    <hyperlink ref="K72" r:id="rId70" xr:uid="{00000000-0004-0000-0300-000045000000}"/>
    <hyperlink ref="K73" r:id="rId71" xr:uid="{00000000-0004-0000-0300-000046000000}"/>
    <hyperlink ref="K74" r:id="rId72" xr:uid="{00000000-0004-0000-0300-000047000000}"/>
    <hyperlink ref="K75" r:id="rId73" xr:uid="{00000000-0004-0000-0300-000048000000}"/>
    <hyperlink ref="K76" r:id="rId74" xr:uid="{00000000-0004-0000-0300-000049000000}"/>
    <hyperlink ref="K77" r:id="rId75" xr:uid="{00000000-0004-0000-0300-00004A000000}"/>
    <hyperlink ref="K78" r:id="rId76" xr:uid="{00000000-0004-0000-0300-00004B000000}"/>
    <hyperlink ref="K79" r:id="rId77" xr:uid="{00000000-0004-0000-0300-00004C000000}"/>
    <hyperlink ref="K80" r:id="rId78" xr:uid="{00000000-0004-0000-0300-00004D000000}"/>
    <hyperlink ref="K81" r:id="rId79" xr:uid="{00000000-0004-0000-0300-00004E000000}"/>
    <hyperlink ref="K82" r:id="rId80" xr:uid="{00000000-0004-0000-0300-00004F000000}"/>
    <hyperlink ref="K83" r:id="rId81" xr:uid="{00000000-0004-0000-0300-000050000000}"/>
    <hyperlink ref="K84" r:id="rId82" xr:uid="{00000000-0004-0000-0300-000051000000}"/>
    <hyperlink ref="K85" r:id="rId83" xr:uid="{00000000-0004-0000-0300-000052000000}"/>
    <hyperlink ref="K86" r:id="rId84" xr:uid="{00000000-0004-0000-0300-000053000000}"/>
    <hyperlink ref="K87" r:id="rId85" xr:uid="{00000000-0004-0000-0300-000054000000}"/>
    <hyperlink ref="K88" r:id="rId86" xr:uid="{00000000-0004-0000-0300-000055000000}"/>
    <hyperlink ref="K89" r:id="rId87" location="v=onepage&amp;q&amp;f=false" xr:uid="{00000000-0004-0000-0300-000056000000}"/>
    <hyperlink ref="K90" r:id="rId88" xr:uid="{00000000-0004-0000-0300-000057000000}"/>
    <hyperlink ref="K91" r:id="rId89" xr:uid="{00000000-0004-0000-0300-000058000000}"/>
    <hyperlink ref="K92" r:id="rId90" xr:uid="{00000000-0004-0000-0300-000059000000}"/>
    <hyperlink ref="K93" r:id="rId91" xr:uid="{00000000-0004-0000-0300-00005A000000}"/>
    <hyperlink ref="K94" r:id="rId92" xr:uid="{00000000-0004-0000-0300-00005B000000}"/>
    <hyperlink ref="K95" r:id="rId93" location="v=onepage&amp;q=solar%20intermittency%20OR%20intermittent%20OR%20%22variable%20generation%22&amp;f=false" xr:uid="{00000000-0004-0000-0300-00005C000000}"/>
    <hyperlink ref="K96" r:id="rId94" xr:uid="{00000000-0004-0000-0300-00005D000000}"/>
    <hyperlink ref="K97" r:id="rId95" xr:uid="{00000000-0004-0000-0300-00005E000000}"/>
    <hyperlink ref="K98" r:id="rId96" xr:uid="{00000000-0004-0000-0300-00005F000000}"/>
    <hyperlink ref="K99" r:id="rId97" xr:uid="{00000000-0004-0000-0300-000060000000}"/>
    <hyperlink ref="K100" r:id="rId98" xr:uid="{00000000-0004-0000-0300-000061000000}"/>
    <hyperlink ref="K101" r:id="rId99" xr:uid="{00000000-0004-0000-0300-000062000000}"/>
    <hyperlink ref="K102" r:id="rId100" xr:uid="{00000000-0004-0000-0300-000063000000}"/>
    <hyperlink ref="K103" r:id="rId101" xr:uid="{00000000-0004-0000-0300-000064000000}"/>
    <hyperlink ref="K104" r:id="rId102" xr:uid="{00000000-0004-0000-0300-000065000000}"/>
    <hyperlink ref="K105" r:id="rId103" xr:uid="{00000000-0004-0000-0300-000066000000}"/>
    <hyperlink ref="K106" r:id="rId104" xr:uid="{00000000-0004-0000-0300-000067000000}"/>
    <hyperlink ref="K107" r:id="rId105" xr:uid="{00000000-0004-0000-0300-000068000000}"/>
    <hyperlink ref="K108" r:id="rId106" xr:uid="{00000000-0004-0000-0300-000069000000}"/>
    <hyperlink ref="K109" r:id="rId107" xr:uid="{00000000-0004-0000-0300-00006A000000}"/>
    <hyperlink ref="K110" r:id="rId108" xr:uid="{00000000-0004-0000-0300-00006B000000}"/>
    <hyperlink ref="K111" r:id="rId109" xr:uid="{00000000-0004-0000-0300-00006C000000}"/>
    <hyperlink ref="K112" r:id="rId110" xr:uid="{00000000-0004-0000-0300-00006D000000}"/>
    <hyperlink ref="K113" r:id="rId111" xr:uid="{00000000-0004-0000-0300-00006E000000}"/>
    <hyperlink ref="K114" r:id="rId112" location="v=onepage&amp;q=renewable%20intermittency%20OR%20intermittent%20OR%20%22variable%20generation%22&amp;f=false" xr:uid="{00000000-0004-0000-0300-00006F000000}"/>
    <hyperlink ref="K115" r:id="rId113" xr:uid="{00000000-0004-0000-0300-000070000000}"/>
    <hyperlink ref="K116" r:id="rId114" xr:uid="{00000000-0004-0000-0300-000071000000}"/>
    <hyperlink ref="K117" r:id="rId115" xr:uid="{00000000-0004-0000-0300-000072000000}"/>
    <hyperlink ref="K118" r:id="rId116" xr:uid="{00000000-0004-0000-0300-000073000000}"/>
    <hyperlink ref="K119" r:id="rId117" xr:uid="{00000000-0004-0000-0300-000074000000}"/>
    <hyperlink ref="K120" r:id="rId118" xr:uid="{00000000-0004-0000-0300-000075000000}"/>
    <hyperlink ref="K121" r:id="rId119" xr:uid="{00000000-0004-0000-0300-000076000000}"/>
    <hyperlink ref="K122" r:id="rId120" xr:uid="{00000000-0004-0000-0300-000077000000}"/>
    <hyperlink ref="K123" r:id="rId121" xr:uid="{00000000-0004-0000-0300-000078000000}"/>
    <hyperlink ref="K124" r:id="rId122" xr:uid="{00000000-0004-0000-0300-000079000000}"/>
    <hyperlink ref="K125" r:id="rId123" xr:uid="{00000000-0004-0000-0300-00007A000000}"/>
    <hyperlink ref="K126" r:id="rId124" xr:uid="{00000000-0004-0000-0300-00007B000000}"/>
    <hyperlink ref="K127" r:id="rId125" xr:uid="{00000000-0004-0000-0300-00007C000000}"/>
    <hyperlink ref="K128" r:id="rId126" xr:uid="{00000000-0004-0000-0300-00007D000000}"/>
    <hyperlink ref="K129" r:id="rId127" xr:uid="{00000000-0004-0000-0300-00007E000000}"/>
    <hyperlink ref="K130" r:id="rId128" xr:uid="{00000000-0004-0000-0300-00007F000000}"/>
    <hyperlink ref="K131" r:id="rId129" xr:uid="{00000000-0004-0000-0300-000080000000}"/>
    <hyperlink ref="K132" r:id="rId130" xr:uid="{00000000-0004-0000-0300-000081000000}"/>
    <hyperlink ref="K133" r:id="rId131" xr:uid="{00000000-0004-0000-0300-000082000000}"/>
    <hyperlink ref="K134" r:id="rId132" xr:uid="{00000000-0004-0000-0300-000083000000}"/>
    <hyperlink ref="K135" r:id="rId133" xr:uid="{00000000-0004-0000-0300-000084000000}"/>
    <hyperlink ref="K136" r:id="rId134" xr:uid="{00000000-0004-0000-0300-000085000000}"/>
    <hyperlink ref="K137" r:id="rId135" xr:uid="{00000000-0004-0000-0300-000086000000}"/>
    <hyperlink ref="K138" r:id="rId136" xr:uid="{00000000-0004-0000-0300-000087000000}"/>
    <hyperlink ref="K139" r:id="rId137" xr:uid="{00000000-0004-0000-0300-000088000000}"/>
    <hyperlink ref="K140" r:id="rId138" xr:uid="{00000000-0004-0000-0300-000089000000}"/>
    <hyperlink ref="K141" r:id="rId139" xr:uid="{00000000-0004-0000-0300-00008A000000}"/>
    <hyperlink ref="K142" r:id="rId140" xr:uid="{00000000-0004-0000-0300-00008B000000}"/>
    <hyperlink ref="K143" r:id="rId141" xr:uid="{00000000-0004-0000-0300-00008C000000}"/>
    <hyperlink ref="K144" r:id="rId142" xr:uid="{00000000-0004-0000-0300-00008D000000}"/>
    <hyperlink ref="K145" r:id="rId143" xr:uid="{00000000-0004-0000-0300-00008E000000}"/>
    <hyperlink ref="K146" r:id="rId144" xr:uid="{00000000-0004-0000-0300-00008F000000}"/>
    <hyperlink ref="K147" r:id="rId145" xr:uid="{00000000-0004-0000-0300-000090000000}"/>
    <hyperlink ref="K148" r:id="rId146" xr:uid="{00000000-0004-0000-0300-000091000000}"/>
    <hyperlink ref="K149" r:id="rId147" xr:uid="{00000000-0004-0000-0300-000092000000}"/>
    <hyperlink ref="K150" r:id="rId148" xr:uid="{00000000-0004-0000-0300-000093000000}"/>
    <hyperlink ref="K151" r:id="rId149" xr:uid="{00000000-0004-0000-0300-000094000000}"/>
    <hyperlink ref="K152" r:id="rId150" xr:uid="{00000000-0004-0000-0300-000095000000}"/>
    <hyperlink ref="K153" r:id="rId151" xr:uid="{00000000-0004-0000-0300-000096000000}"/>
    <hyperlink ref="K154" r:id="rId152" xr:uid="{00000000-0004-0000-0300-000097000000}"/>
    <hyperlink ref="K155" r:id="rId153" xr:uid="{00000000-0004-0000-0300-000098000000}"/>
    <hyperlink ref="K156" r:id="rId154" xr:uid="{00000000-0004-0000-0300-000099000000}"/>
    <hyperlink ref="K157" r:id="rId155" xr:uid="{00000000-0004-0000-0300-00009A000000}"/>
    <hyperlink ref="K158" r:id="rId156" xr:uid="{00000000-0004-0000-0300-00009B000000}"/>
    <hyperlink ref="K159" r:id="rId157" xr:uid="{00000000-0004-0000-0300-00009C000000}"/>
    <hyperlink ref="K160" r:id="rId158" xr:uid="{00000000-0004-0000-0300-00009D000000}"/>
    <hyperlink ref="K161" r:id="rId159" xr:uid="{00000000-0004-0000-0300-00009E000000}"/>
    <hyperlink ref="K162" r:id="rId160" xr:uid="{00000000-0004-0000-0300-00009F000000}"/>
    <hyperlink ref="K163" r:id="rId161" xr:uid="{00000000-0004-0000-0300-0000A0000000}"/>
    <hyperlink ref="K164" r:id="rId162" xr:uid="{00000000-0004-0000-0300-0000A1000000}"/>
    <hyperlink ref="K165" r:id="rId163" xr:uid="{00000000-0004-0000-0300-0000A2000000}"/>
    <hyperlink ref="K166" r:id="rId164" xr:uid="{00000000-0004-0000-0300-0000A3000000}"/>
    <hyperlink ref="K167" r:id="rId165" xr:uid="{00000000-0004-0000-0300-0000A4000000}"/>
    <hyperlink ref="K168" r:id="rId166" xr:uid="{00000000-0004-0000-0300-0000A5000000}"/>
    <hyperlink ref="K169" r:id="rId167" xr:uid="{00000000-0004-0000-0300-0000A6000000}"/>
    <hyperlink ref="K170" r:id="rId168" xr:uid="{00000000-0004-0000-0300-0000A7000000}"/>
    <hyperlink ref="K171" r:id="rId169" xr:uid="{00000000-0004-0000-0300-0000A8000000}"/>
    <hyperlink ref="K172" r:id="rId170" xr:uid="{00000000-0004-0000-0300-0000A9000000}"/>
    <hyperlink ref="K173" r:id="rId171" xr:uid="{00000000-0004-0000-0300-0000AA000000}"/>
    <hyperlink ref="K174" r:id="rId172" xr:uid="{00000000-0004-0000-0300-0000AB000000}"/>
    <hyperlink ref="K175" r:id="rId173" xr:uid="{00000000-0004-0000-0300-0000AC000000}"/>
    <hyperlink ref="K176" r:id="rId174" xr:uid="{00000000-0004-0000-0300-0000AD000000}"/>
    <hyperlink ref="K177" r:id="rId175" xr:uid="{00000000-0004-0000-0300-0000AE000000}"/>
    <hyperlink ref="K178" r:id="rId176" xr:uid="{00000000-0004-0000-0300-0000AF000000}"/>
    <hyperlink ref="K179" r:id="rId177" xr:uid="{00000000-0004-0000-0300-0000B0000000}"/>
    <hyperlink ref="K180" r:id="rId178" xr:uid="{00000000-0004-0000-0300-0000B1000000}"/>
    <hyperlink ref="K181" r:id="rId179" xr:uid="{00000000-0004-0000-0300-0000B2000000}"/>
    <hyperlink ref="K182" r:id="rId180" xr:uid="{00000000-0004-0000-0300-0000B3000000}"/>
    <hyperlink ref="K183" r:id="rId181" xr:uid="{00000000-0004-0000-0300-0000B4000000}"/>
    <hyperlink ref="K184" r:id="rId182" xr:uid="{00000000-0004-0000-0300-0000B5000000}"/>
    <hyperlink ref="K185" r:id="rId183" xr:uid="{00000000-0004-0000-0300-0000B6000000}"/>
    <hyperlink ref="K186" r:id="rId184" xr:uid="{00000000-0004-0000-0300-0000B7000000}"/>
    <hyperlink ref="K187" r:id="rId185" xr:uid="{00000000-0004-0000-0300-0000B8000000}"/>
    <hyperlink ref="K188" r:id="rId186" xr:uid="{00000000-0004-0000-0300-0000B9000000}"/>
    <hyperlink ref="K189" r:id="rId187" xr:uid="{00000000-0004-0000-0300-0000BA000000}"/>
    <hyperlink ref="K190" r:id="rId188" xr:uid="{00000000-0004-0000-0300-0000BB000000}"/>
    <hyperlink ref="K191" r:id="rId189" xr:uid="{00000000-0004-0000-0300-0000BC000000}"/>
    <hyperlink ref="K192" r:id="rId190" xr:uid="{00000000-0004-0000-0300-0000BD000000}"/>
    <hyperlink ref="K193" r:id="rId191" xr:uid="{00000000-0004-0000-0300-0000BE000000}"/>
    <hyperlink ref="K194" r:id="rId192" xr:uid="{00000000-0004-0000-0300-0000BF000000}"/>
    <hyperlink ref="K195" r:id="rId193" xr:uid="{00000000-0004-0000-0300-0000C0000000}"/>
    <hyperlink ref="K196" r:id="rId194" xr:uid="{00000000-0004-0000-0300-0000C1000000}"/>
    <hyperlink ref="K197" r:id="rId195" xr:uid="{00000000-0004-0000-0300-0000C2000000}"/>
    <hyperlink ref="K198" r:id="rId196" xr:uid="{00000000-0004-0000-0300-0000C3000000}"/>
    <hyperlink ref="K199" r:id="rId197" xr:uid="{00000000-0004-0000-0300-0000C4000000}"/>
    <hyperlink ref="K200" r:id="rId198" xr:uid="{00000000-0004-0000-0300-0000C5000000}"/>
    <hyperlink ref="K201" r:id="rId199" xr:uid="{00000000-0004-0000-0300-0000C6000000}"/>
    <hyperlink ref="K202" r:id="rId200" xr:uid="{00000000-0004-0000-0300-0000C7000000}"/>
    <hyperlink ref="K203" r:id="rId201" xr:uid="{00000000-0004-0000-0300-0000C8000000}"/>
    <hyperlink ref="K204" r:id="rId202" location="v=onepage&amp;q=Grid%20%20wind%20OR%20solar%20OR%20storage&amp;f=false" xr:uid="{00000000-0004-0000-0300-0000C9000000}"/>
    <hyperlink ref="K205" r:id="rId203" xr:uid="{00000000-0004-0000-0300-0000CA000000}"/>
    <hyperlink ref="K206" r:id="rId204" xr:uid="{00000000-0004-0000-0300-0000CB000000}"/>
    <hyperlink ref="K207" r:id="rId205" xr:uid="{00000000-0004-0000-0300-0000CC000000}"/>
    <hyperlink ref="K208" r:id="rId206" xr:uid="{00000000-0004-0000-0300-0000CD000000}"/>
    <hyperlink ref="K209" r:id="rId207" xr:uid="{00000000-0004-0000-0300-0000CE000000}"/>
    <hyperlink ref="K210" r:id="rId208" xr:uid="{00000000-0004-0000-0300-0000CF000000}"/>
    <hyperlink ref="K211" r:id="rId209" xr:uid="{00000000-0004-0000-0300-0000D0000000}"/>
    <hyperlink ref="K212" r:id="rId210" xr:uid="{00000000-0004-0000-0300-0000D1000000}"/>
    <hyperlink ref="K213" r:id="rId211" xr:uid="{00000000-0004-0000-0300-0000D2000000}"/>
    <hyperlink ref="K214" r:id="rId212" xr:uid="{00000000-0004-0000-0300-0000D3000000}"/>
    <hyperlink ref="K215" r:id="rId213" location="v=onepage&amp;q=Grid%20%20wind%20OR%20solar%20OR%20storage&amp;f=false" xr:uid="{00000000-0004-0000-0300-0000D4000000}"/>
    <hyperlink ref="K216" r:id="rId214" xr:uid="{00000000-0004-0000-0300-0000D5000000}"/>
    <hyperlink ref="K217" r:id="rId215" location="v=onepage&amp;q=Grid%20%20wind%20OR%20solar%20OR%20storage&amp;f=false" xr:uid="{00000000-0004-0000-0300-0000D6000000}"/>
    <hyperlink ref="K218" r:id="rId216" xr:uid="{00000000-0004-0000-0300-0000D7000000}"/>
    <hyperlink ref="K219" r:id="rId217" xr:uid="{00000000-0004-0000-0300-0000D8000000}"/>
    <hyperlink ref="K220" r:id="rId218" xr:uid="{00000000-0004-0000-0300-0000D9000000}"/>
    <hyperlink ref="K221" r:id="rId219" xr:uid="{00000000-0004-0000-0300-0000DA000000}"/>
    <hyperlink ref="K222" r:id="rId220" xr:uid="{00000000-0004-0000-0300-0000DB000000}"/>
    <hyperlink ref="K223" r:id="rId221" xr:uid="{00000000-0004-0000-0300-0000DC000000}"/>
    <hyperlink ref="K224" r:id="rId222" xr:uid="{00000000-0004-0000-0300-0000DD000000}"/>
    <hyperlink ref="K225" r:id="rId223" xr:uid="{00000000-0004-0000-0300-0000DE000000}"/>
    <hyperlink ref="K226" r:id="rId224" xr:uid="{00000000-0004-0000-0300-0000DF000000}"/>
    <hyperlink ref="K227" r:id="rId225" xr:uid="{00000000-0004-0000-0300-0000E0000000}"/>
    <hyperlink ref="K228" r:id="rId226" xr:uid="{00000000-0004-0000-0300-0000E1000000}"/>
    <hyperlink ref="K229" r:id="rId227" xr:uid="{00000000-0004-0000-0300-0000E2000000}"/>
    <hyperlink ref="K230" r:id="rId228" location="v=onepage&amp;q=Transmission%20%20wind%20OR%20solar%20OR%20storage&amp;f=false" xr:uid="{00000000-0004-0000-0300-0000E3000000}"/>
    <hyperlink ref="K231" r:id="rId229" xr:uid="{00000000-0004-0000-0300-0000E4000000}"/>
    <hyperlink ref="K232" r:id="rId230" xr:uid="{00000000-0004-0000-0300-0000E5000000}"/>
    <hyperlink ref="K233" r:id="rId231" xr:uid="{00000000-0004-0000-0300-0000E6000000}"/>
    <hyperlink ref="K234" r:id="rId232" xr:uid="{00000000-0004-0000-0300-0000E7000000}"/>
    <hyperlink ref="K235" r:id="rId233" xr:uid="{00000000-0004-0000-0300-0000E8000000}"/>
    <hyperlink ref="K236" r:id="rId234" xr:uid="{00000000-0004-0000-0300-0000E9000000}"/>
    <hyperlink ref="K237" r:id="rId235" xr:uid="{00000000-0004-0000-0300-0000EA000000}"/>
    <hyperlink ref="K238" r:id="rId236" xr:uid="{00000000-0004-0000-0300-0000EB000000}"/>
    <hyperlink ref="K239" r:id="rId237" xr:uid="{00000000-0004-0000-0300-0000EC000000}"/>
    <hyperlink ref="K240" r:id="rId238" location="v=onepage&amp;q=Transmission%20%20wind%20OR%20solar%20OR%20storage&amp;f=false" xr:uid="{00000000-0004-0000-0300-0000ED000000}"/>
    <hyperlink ref="K241" r:id="rId239" xr:uid="{00000000-0004-0000-0300-0000EE000000}"/>
    <hyperlink ref="K242" r:id="rId240" xr:uid="{00000000-0004-0000-0300-0000EF000000}"/>
    <hyperlink ref="K243" r:id="rId241" xr:uid="{00000000-0004-0000-0300-0000F0000000}"/>
    <hyperlink ref="K244" r:id="rId242" xr:uid="{00000000-0004-0000-0300-0000F1000000}"/>
    <hyperlink ref="K245" r:id="rId243" xr:uid="{00000000-0004-0000-0300-0000F2000000}"/>
    <hyperlink ref="K246" r:id="rId244" xr:uid="{00000000-0004-0000-0300-0000F3000000}"/>
    <hyperlink ref="K247" r:id="rId245" xr:uid="{00000000-0004-0000-0300-0000F4000000}"/>
    <hyperlink ref="K248" r:id="rId246" xr:uid="{00000000-0004-0000-0300-0000F5000000}"/>
    <hyperlink ref="K249" r:id="rId247" xr:uid="{00000000-0004-0000-0300-0000F6000000}"/>
    <hyperlink ref="K250" r:id="rId248" xr:uid="{00000000-0004-0000-0300-0000F7000000}"/>
    <hyperlink ref="K251" r:id="rId249" xr:uid="{00000000-0004-0000-0300-0000F8000000}"/>
    <hyperlink ref="K252" r:id="rId250" xr:uid="{00000000-0004-0000-0300-0000F9000000}"/>
    <hyperlink ref="K253" r:id="rId251" xr:uid="{00000000-0004-0000-0300-0000FA000000}"/>
    <hyperlink ref="K254" r:id="rId252" xr:uid="{00000000-0004-0000-0300-0000FB000000}"/>
    <hyperlink ref="K255" r:id="rId253" xr:uid="{00000000-0004-0000-0300-0000FC000000}"/>
    <hyperlink ref="K256" r:id="rId254" xr:uid="{00000000-0004-0000-0300-0000FD000000}"/>
    <hyperlink ref="K257" r:id="rId255" xr:uid="{00000000-0004-0000-0300-0000FE000000}"/>
    <hyperlink ref="K258" r:id="rId256" xr:uid="{00000000-0004-0000-0300-0000FF000000}"/>
    <hyperlink ref="K259" r:id="rId257" xr:uid="{00000000-0004-0000-0300-000000010000}"/>
    <hyperlink ref="K260" r:id="rId258" xr:uid="{00000000-0004-0000-0300-000001010000}"/>
    <hyperlink ref="K261" r:id="rId259" xr:uid="{00000000-0004-0000-0300-000002010000}"/>
    <hyperlink ref="K262" r:id="rId260" xr:uid="{00000000-0004-0000-0300-000003010000}"/>
    <hyperlink ref="K263" r:id="rId261" xr:uid="{00000000-0004-0000-0300-000004010000}"/>
    <hyperlink ref="K264" r:id="rId262" xr:uid="{00000000-0004-0000-0300-000005010000}"/>
    <hyperlink ref="K265" r:id="rId263" xr:uid="{00000000-0004-0000-0300-000006010000}"/>
    <hyperlink ref="K266" r:id="rId264" xr:uid="{00000000-0004-0000-0300-000007010000}"/>
    <hyperlink ref="K267" r:id="rId265" xr:uid="{00000000-0004-0000-0300-000008010000}"/>
    <hyperlink ref="K268" r:id="rId266" xr:uid="{00000000-0004-0000-0300-000009010000}"/>
    <hyperlink ref="K269" r:id="rId267" xr:uid="{00000000-0004-0000-0300-00000A010000}"/>
    <hyperlink ref="K270" r:id="rId268" xr:uid="{00000000-0004-0000-0300-00000B010000}"/>
    <hyperlink ref="K271" r:id="rId269" xr:uid="{00000000-0004-0000-0300-00000C010000}"/>
    <hyperlink ref="K272" r:id="rId270" xr:uid="{00000000-0004-0000-0300-00000D010000}"/>
    <hyperlink ref="K273" r:id="rId271" xr:uid="{00000000-0004-0000-0300-00000E010000}"/>
    <hyperlink ref="K274" r:id="rId272" xr:uid="{00000000-0004-0000-0300-00000F010000}"/>
    <hyperlink ref="K275" r:id="rId273" xr:uid="{00000000-0004-0000-0300-000010010000}"/>
    <hyperlink ref="K276" r:id="rId274" xr:uid="{00000000-0004-0000-0300-000011010000}"/>
    <hyperlink ref="K277" r:id="rId275" xr:uid="{00000000-0004-0000-0300-000012010000}"/>
    <hyperlink ref="K278" r:id="rId276" xr:uid="{00000000-0004-0000-0300-000013010000}"/>
    <hyperlink ref="K279" r:id="rId277" xr:uid="{00000000-0004-0000-0300-000014010000}"/>
    <hyperlink ref="K280" r:id="rId278" xr:uid="{00000000-0004-0000-0300-000015010000}"/>
    <hyperlink ref="K281" r:id="rId279" xr:uid="{00000000-0004-0000-0300-000016010000}"/>
    <hyperlink ref="K282" r:id="rId280" xr:uid="{00000000-0004-0000-0300-000017010000}"/>
    <hyperlink ref="K283" r:id="rId281" xr:uid="{00000000-0004-0000-0300-000018010000}"/>
    <hyperlink ref="K284" r:id="rId282" xr:uid="{00000000-0004-0000-0300-000019010000}"/>
    <hyperlink ref="K285" r:id="rId283" xr:uid="{00000000-0004-0000-0300-00001A010000}"/>
    <hyperlink ref="K286" r:id="rId284" xr:uid="{00000000-0004-0000-0300-00001B010000}"/>
    <hyperlink ref="K287" r:id="rId285" xr:uid="{00000000-0004-0000-0300-00001C010000}"/>
    <hyperlink ref="K288" r:id="rId286" xr:uid="{00000000-0004-0000-0300-00001D010000}"/>
    <hyperlink ref="K289" r:id="rId287" xr:uid="{00000000-0004-0000-0300-00001E010000}"/>
    <hyperlink ref="K290" r:id="rId288" xr:uid="{00000000-0004-0000-0300-00001F010000}"/>
    <hyperlink ref="K291" r:id="rId289" xr:uid="{00000000-0004-0000-0300-000020010000}"/>
    <hyperlink ref="K292" r:id="rId290" xr:uid="{00000000-0004-0000-0300-000021010000}"/>
    <hyperlink ref="K293" r:id="rId291" xr:uid="{00000000-0004-0000-0300-000022010000}"/>
    <hyperlink ref="K294" r:id="rId292" xr:uid="{00000000-0004-0000-0300-000023010000}"/>
    <hyperlink ref="K295" r:id="rId293" xr:uid="{00000000-0004-0000-0300-000024010000}"/>
    <hyperlink ref="K296" r:id="rId294" xr:uid="{00000000-0004-0000-0300-000025010000}"/>
    <hyperlink ref="K297" r:id="rId295" xr:uid="{00000000-0004-0000-0300-000026010000}"/>
    <hyperlink ref="K298" r:id="rId296" xr:uid="{00000000-0004-0000-0300-000027010000}"/>
    <hyperlink ref="K299" r:id="rId297" xr:uid="{00000000-0004-0000-0300-000028010000}"/>
    <hyperlink ref="K300" r:id="rId298" xr:uid="{00000000-0004-0000-0300-000029010000}"/>
    <hyperlink ref="K301" r:id="rId299" xr:uid="{00000000-0004-0000-0300-00002A010000}"/>
    <hyperlink ref="K302" r:id="rId300" xr:uid="{00000000-0004-0000-0300-00002B010000}"/>
    <hyperlink ref="K303" r:id="rId301" xr:uid="{00000000-0004-0000-0300-00002C010000}"/>
    <hyperlink ref="K304" r:id="rId302" xr:uid="{00000000-0004-0000-0300-00002D010000}"/>
    <hyperlink ref="K305" r:id="rId303" xr:uid="{00000000-0004-0000-0300-00002E010000}"/>
    <hyperlink ref="K306" r:id="rId304" xr:uid="{00000000-0004-0000-0300-00002F010000}"/>
    <hyperlink ref="K307" r:id="rId305" xr:uid="{00000000-0004-0000-0300-000030010000}"/>
    <hyperlink ref="K308" r:id="rId306" xr:uid="{00000000-0004-0000-0300-000031010000}"/>
    <hyperlink ref="K309" r:id="rId307" xr:uid="{00000000-0004-0000-0300-000032010000}"/>
    <hyperlink ref="K310" r:id="rId308" xr:uid="{00000000-0004-0000-0300-000033010000}"/>
    <hyperlink ref="K311" r:id="rId309" xr:uid="{00000000-0004-0000-0300-000034010000}"/>
    <hyperlink ref="K312" r:id="rId310" xr:uid="{00000000-0004-0000-0300-000035010000}"/>
    <hyperlink ref="K313" r:id="rId311" xr:uid="{00000000-0004-0000-0300-000036010000}"/>
    <hyperlink ref="K314" r:id="rId312" xr:uid="{00000000-0004-0000-0300-000037010000}"/>
    <hyperlink ref="K315" r:id="rId313" xr:uid="{00000000-0004-0000-0300-000038010000}"/>
    <hyperlink ref="K316" r:id="rId314" xr:uid="{00000000-0004-0000-0300-000039010000}"/>
    <hyperlink ref="K317" r:id="rId315" xr:uid="{00000000-0004-0000-0300-00003A010000}"/>
    <hyperlink ref="K318" r:id="rId316" xr:uid="{00000000-0004-0000-0300-00003B010000}"/>
    <hyperlink ref="K319" r:id="rId317" xr:uid="{00000000-0004-0000-0300-00003C010000}"/>
    <hyperlink ref="K320" r:id="rId318" xr:uid="{00000000-0004-0000-0300-00003D010000}"/>
    <hyperlink ref="K321" r:id="rId319" xr:uid="{00000000-0004-0000-0300-00003E010000}"/>
    <hyperlink ref="K322" r:id="rId320" xr:uid="{00000000-0004-0000-0300-00003F010000}"/>
    <hyperlink ref="K323" r:id="rId321" xr:uid="{00000000-0004-0000-0300-000040010000}"/>
    <hyperlink ref="K324" r:id="rId322" xr:uid="{00000000-0004-0000-0300-000041010000}"/>
    <hyperlink ref="K325" r:id="rId323" xr:uid="{00000000-0004-0000-0300-000042010000}"/>
    <hyperlink ref="K326" r:id="rId324" xr:uid="{00000000-0004-0000-0300-000043010000}"/>
    <hyperlink ref="K327" r:id="rId325" xr:uid="{00000000-0004-0000-0300-000044010000}"/>
    <hyperlink ref="K328" r:id="rId326" xr:uid="{00000000-0004-0000-0300-000045010000}"/>
    <hyperlink ref="K329" r:id="rId327" xr:uid="{00000000-0004-0000-0300-000046010000}"/>
    <hyperlink ref="K330" r:id="rId328" xr:uid="{00000000-0004-0000-0300-000047010000}"/>
    <hyperlink ref="K331" r:id="rId329" xr:uid="{00000000-0004-0000-0300-000048010000}"/>
    <hyperlink ref="K332" r:id="rId330" xr:uid="{00000000-0004-0000-0300-000049010000}"/>
    <hyperlink ref="K333" r:id="rId331" xr:uid="{00000000-0004-0000-0300-00004A010000}"/>
    <hyperlink ref="K334" r:id="rId332" xr:uid="{00000000-0004-0000-0300-00004B010000}"/>
    <hyperlink ref="K335" r:id="rId333" xr:uid="{00000000-0004-0000-0300-00004C010000}"/>
    <hyperlink ref="K336" r:id="rId334" xr:uid="{00000000-0004-0000-0300-00004D010000}"/>
    <hyperlink ref="K337" r:id="rId335" xr:uid="{00000000-0004-0000-0300-00004E010000}"/>
    <hyperlink ref="K338" r:id="rId336" xr:uid="{00000000-0004-0000-0300-00004F010000}"/>
    <hyperlink ref="K339" r:id="rId337" xr:uid="{00000000-0004-0000-0300-000050010000}"/>
    <hyperlink ref="K340" r:id="rId338" xr:uid="{00000000-0004-0000-0300-000051010000}"/>
    <hyperlink ref="K341" r:id="rId339" xr:uid="{00000000-0004-0000-0300-000052010000}"/>
    <hyperlink ref="K342" r:id="rId340" xr:uid="{00000000-0004-0000-0300-000053010000}"/>
    <hyperlink ref="K343" r:id="rId341" xr:uid="{00000000-0004-0000-0300-000054010000}"/>
    <hyperlink ref="K344" r:id="rId342" xr:uid="{00000000-0004-0000-0300-000055010000}"/>
    <hyperlink ref="K345" r:id="rId343" xr:uid="{00000000-0004-0000-0300-000056010000}"/>
    <hyperlink ref="K346" r:id="rId344" xr:uid="{00000000-0004-0000-0300-000057010000}"/>
    <hyperlink ref="K347" r:id="rId345" xr:uid="{00000000-0004-0000-0300-000058010000}"/>
    <hyperlink ref="K348" r:id="rId346" xr:uid="{00000000-0004-0000-0300-000059010000}"/>
    <hyperlink ref="K349" r:id="rId347" xr:uid="{00000000-0004-0000-0300-00005A010000}"/>
    <hyperlink ref="K350" r:id="rId348" xr:uid="{00000000-0004-0000-0300-00005B010000}"/>
    <hyperlink ref="K351" r:id="rId349" xr:uid="{00000000-0004-0000-0300-00005C010000}"/>
    <hyperlink ref="K352" r:id="rId350" xr:uid="{00000000-0004-0000-0300-00005D010000}"/>
    <hyperlink ref="K353" r:id="rId351" xr:uid="{00000000-0004-0000-0300-00005E010000}"/>
    <hyperlink ref="K354" r:id="rId352" xr:uid="{00000000-0004-0000-0300-00005F010000}"/>
    <hyperlink ref="K355" r:id="rId353" xr:uid="{00000000-0004-0000-0300-000060010000}"/>
    <hyperlink ref="K356" r:id="rId354" location="page-1" xr:uid="{00000000-0004-0000-0300-000061010000}"/>
    <hyperlink ref="K357" r:id="rId355" xr:uid="{00000000-0004-0000-0300-000062010000}"/>
    <hyperlink ref="K358" r:id="rId356" xr:uid="{00000000-0004-0000-0300-000063010000}"/>
    <hyperlink ref="K359" r:id="rId357" xr:uid="{00000000-0004-0000-0300-000064010000}"/>
    <hyperlink ref="K360" r:id="rId358" xr:uid="{00000000-0004-0000-0300-000065010000}"/>
    <hyperlink ref="K361" r:id="rId359" xr:uid="{00000000-0004-0000-0300-000066010000}"/>
    <hyperlink ref="K362" r:id="rId360" xr:uid="{00000000-0004-0000-0300-000067010000}"/>
    <hyperlink ref="K363" r:id="rId361" xr:uid="{00000000-0004-0000-0300-000068010000}"/>
    <hyperlink ref="K364" r:id="rId362" xr:uid="{00000000-0004-0000-0300-000069010000}"/>
    <hyperlink ref="K365" r:id="rId363" xr:uid="{00000000-0004-0000-0300-00006A010000}"/>
    <hyperlink ref="K366" r:id="rId364" xr:uid="{00000000-0004-0000-0300-00006B010000}"/>
    <hyperlink ref="K367" r:id="rId365" xr:uid="{00000000-0004-0000-0300-00006C010000}"/>
    <hyperlink ref="K368" r:id="rId366" xr:uid="{00000000-0004-0000-0300-00006D010000}"/>
    <hyperlink ref="K369" r:id="rId367" xr:uid="{00000000-0004-0000-0300-00006E010000}"/>
    <hyperlink ref="K370" r:id="rId368" xr:uid="{00000000-0004-0000-0300-00006F010000}"/>
    <hyperlink ref="K371" r:id="rId369" xr:uid="{00000000-0004-0000-0300-000070010000}"/>
    <hyperlink ref="K372" r:id="rId370" xr:uid="{00000000-0004-0000-0300-000071010000}"/>
    <hyperlink ref="K373" r:id="rId371" xr:uid="{00000000-0004-0000-0300-000072010000}"/>
    <hyperlink ref="K374" r:id="rId372" xr:uid="{00000000-0004-0000-0300-000073010000}"/>
    <hyperlink ref="K375" r:id="rId373" xr:uid="{00000000-0004-0000-0300-000074010000}"/>
    <hyperlink ref="K376" r:id="rId374" xr:uid="{00000000-0004-0000-0300-000075010000}"/>
    <hyperlink ref="K377" r:id="rId375" xr:uid="{00000000-0004-0000-0300-000076010000}"/>
    <hyperlink ref="K378" r:id="rId376" xr:uid="{00000000-0004-0000-0300-000077010000}"/>
    <hyperlink ref="K379" r:id="rId377" xr:uid="{00000000-0004-0000-0300-000078010000}"/>
    <hyperlink ref="K380" r:id="rId378" xr:uid="{00000000-0004-0000-0300-000079010000}"/>
    <hyperlink ref="K381" r:id="rId379" xr:uid="{00000000-0004-0000-0300-00007A010000}"/>
    <hyperlink ref="K382" r:id="rId380" xr:uid="{00000000-0004-0000-0300-00007B010000}"/>
    <hyperlink ref="K383" r:id="rId381" xr:uid="{00000000-0004-0000-0300-00007C010000}"/>
    <hyperlink ref="K384" r:id="rId382" xr:uid="{00000000-0004-0000-0300-00007D010000}"/>
    <hyperlink ref="K385" r:id="rId383" xr:uid="{00000000-0004-0000-0300-00007E010000}"/>
    <hyperlink ref="K386" r:id="rId384" xr:uid="{00000000-0004-0000-0300-00007F010000}"/>
    <hyperlink ref="K387" r:id="rId385" xr:uid="{00000000-0004-0000-0300-000080010000}"/>
    <hyperlink ref="K388" r:id="rId386" xr:uid="{00000000-0004-0000-0300-000081010000}"/>
    <hyperlink ref="K389" r:id="rId387" xr:uid="{00000000-0004-0000-0300-000082010000}"/>
    <hyperlink ref="K390" r:id="rId388" xr:uid="{00000000-0004-0000-0300-000083010000}"/>
    <hyperlink ref="K391" r:id="rId389" xr:uid="{00000000-0004-0000-0300-000084010000}"/>
    <hyperlink ref="K393" r:id="rId390" xr:uid="{00000000-0004-0000-0300-000085010000}"/>
    <hyperlink ref="K394" r:id="rId391" xr:uid="{00000000-0004-0000-0300-000086010000}"/>
    <hyperlink ref="K397" r:id="rId392" xr:uid="{00000000-0004-0000-0300-000087010000}"/>
    <hyperlink ref="K398" r:id="rId393" xr:uid="{00000000-0004-0000-0300-000088010000}"/>
    <hyperlink ref="K399" r:id="rId394" xr:uid="{00000000-0004-0000-0300-000089010000}"/>
    <hyperlink ref="K400" r:id="rId395" xr:uid="{00000000-0004-0000-0300-00008A010000}"/>
    <hyperlink ref="K402" r:id="rId396" xr:uid="{00000000-0004-0000-0300-00008B010000}"/>
    <hyperlink ref="K403" r:id="rId397" xr:uid="{00000000-0004-0000-0300-00008C010000}"/>
    <hyperlink ref="K406" r:id="rId398" xr:uid="{00000000-0004-0000-0300-00008D010000}"/>
    <hyperlink ref="K407" r:id="rId399" xr:uid="{00000000-0004-0000-0300-00008E010000}"/>
    <hyperlink ref="K408" r:id="rId400" xr:uid="{00000000-0004-0000-0300-00008F010000}"/>
    <hyperlink ref="K409" r:id="rId401" xr:uid="{00000000-0004-0000-0300-000090010000}"/>
    <hyperlink ref="K410" r:id="rId402" xr:uid="{00000000-0004-0000-0300-000091010000}"/>
    <hyperlink ref="K411" r:id="rId403" xr:uid="{00000000-0004-0000-0300-000092010000}"/>
    <hyperlink ref="K412" r:id="rId404" xr:uid="{00000000-0004-0000-0300-000093010000}"/>
    <hyperlink ref="K413" r:id="rId405" xr:uid="{00000000-0004-0000-0300-000094010000}"/>
    <hyperlink ref="K414" r:id="rId406" xr:uid="{00000000-0004-0000-0300-000095010000}"/>
    <hyperlink ref="K415" r:id="rId407" xr:uid="{00000000-0004-0000-0300-000096010000}"/>
    <hyperlink ref="K416" r:id="rId408" xr:uid="{00000000-0004-0000-0300-000097010000}"/>
    <hyperlink ref="K417" r:id="rId409" xr:uid="{00000000-0004-0000-0300-000098010000}"/>
    <hyperlink ref="K418" r:id="rId410" xr:uid="{00000000-0004-0000-0300-000099010000}"/>
    <hyperlink ref="K419" r:id="rId411" xr:uid="{00000000-0004-0000-0300-00009A010000}"/>
    <hyperlink ref="K421" r:id="rId412" xr:uid="{00000000-0004-0000-0300-00009B010000}"/>
    <hyperlink ref="K422" r:id="rId413" xr:uid="{00000000-0004-0000-0300-00009C010000}"/>
    <hyperlink ref="K423" r:id="rId414" xr:uid="{00000000-0004-0000-0300-00009D010000}"/>
    <hyperlink ref="K424" r:id="rId415" xr:uid="{00000000-0004-0000-0300-00009E010000}"/>
    <hyperlink ref="K425" r:id="rId416" xr:uid="{00000000-0004-0000-0300-00009F010000}"/>
    <hyperlink ref="K426" r:id="rId417" xr:uid="{00000000-0004-0000-0300-0000A0010000}"/>
    <hyperlink ref="K427" r:id="rId418" xr:uid="{00000000-0004-0000-0300-0000A1010000}"/>
    <hyperlink ref="K428" r:id="rId419" xr:uid="{00000000-0004-0000-0300-0000A2010000}"/>
    <hyperlink ref="K429" r:id="rId420" xr:uid="{00000000-0004-0000-0300-0000A3010000}"/>
    <hyperlink ref="K430" r:id="rId421" xr:uid="{00000000-0004-0000-0300-0000A4010000}"/>
    <hyperlink ref="K431" r:id="rId422" xr:uid="{00000000-0004-0000-0300-0000A5010000}"/>
    <hyperlink ref="K432" r:id="rId423" xr:uid="{00000000-0004-0000-0300-0000A6010000}"/>
    <hyperlink ref="K433" r:id="rId424" xr:uid="{00000000-0004-0000-0300-0000A7010000}"/>
    <hyperlink ref="K434" r:id="rId425" xr:uid="{00000000-0004-0000-0300-0000A8010000}"/>
    <hyperlink ref="K435" r:id="rId426" xr:uid="{00000000-0004-0000-0300-0000A9010000}"/>
    <hyperlink ref="K436" r:id="rId427" xr:uid="{00000000-0004-0000-0300-0000AA010000}"/>
    <hyperlink ref="K437" r:id="rId428" xr:uid="{00000000-0004-0000-0300-0000AB010000}"/>
    <hyperlink ref="K438" r:id="rId429" xr:uid="{00000000-0004-0000-0300-0000AC010000}"/>
    <hyperlink ref="K439" r:id="rId430" xr:uid="{00000000-0004-0000-0300-0000AD010000}"/>
    <hyperlink ref="K440" r:id="rId431" xr:uid="{00000000-0004-0000-0300-0000AE010000}"/>
    <hyperlink ref="K441" r:id="rId432" xr:uid="{00000000-0004-0000-0300-0000AF010000}"/>
    <hyperlink ref="K442" r:id="rId433" xr:uid="{00000000-0004-0000-0300-0000B0010000}"/>
    <hyperlink ref="K443" r:id="rId434" xr:uid="{00000000-0004-0000-0300-0000B1010000}"/>
    <hyperlink ref="K444" r:id="rId435" xr:uid="{00000000-0004-0000-0300-0000B2010000}"/>
    <hyperlink ref="K445" r:id="rId436" xr:uid="{00000000-0004-0000-0300-0000B3010000}"/>
    <hyperlink ref="K446" r:id="rId437" xr:uid="{00000000-0004-0000-0300-0000B4010000}"/>
    <hyperlink ref="K447" r:id="rId438" xr:uid="{00000000-0004-0000-0300-0000B5010000}"/>
    <hyperlink ref="K448" r:id="rId439" xr:uid="{00000000-0004-0000-0300-0000B6010000}"/>
    <hyperlink ref="K449" r:id="rId440" xr:uid="{00000000-0004-0000-0300-0000B7010000}"/>
    <hyperlink ref="K450" r:id="rId441" xr:uid="{00000000-0004-0000-0300-0000B8010000}"/>
    <hyperlink ref="K452" r:id="rId442" xr:uid="{00000000-0004-0000-0300-0000B9010000}"/>
    <hyperlink ref="K453" r:id="rId443" xr:uid="{00000000-0004-0000-0300-0000BA010000}"/>
    <hyperlink ref="K454" r:id="rId444" xr:uid="{00000000-0004-0000-0300-0000BB010000}"/>
    <hyperlink ref="K455" r:id="rId445" xr:uid="{00000000-0004-0000-0300-0000BC010000}"/>
    <hyperlink ref="K457" r:id="rId446" xr:uid="{00000000-0004-0000-0300-0000BD010000}"/>
    <hyperlink ref="K460" r:id="rId447" display="https://www.sciencedirect.com/science/article/pii/S0140988316301682?via=ihub" xr:uid="{00000000-0004-0000-0300-0000BE010000}"/>
    <hyperlink ref="K459" r:id="rId448" xr:uid="{3FC2DFD5-D78B-E24D-BC88-7886717BA664}"/>
    <hyperlink ref="K461" r:id="rId449" xr:uid="{62A6D133-FE07-AF4E-A9EA-7ECD7D95B84D}"/>
    <hyperlink ref="K462" r:id="rId450" xr:uid="{759ED2A2-94F7-9F46-AEB0-010468A3BE01}"/>
  </hyperlinks>
  <pageMargins left="0.7" right="0.7" top="0.75" bottom="0.75" header="0.3" footer="0.3"/>
  <pageSetup paperSize="9" orientation="portrait" r:id="rId45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Z291"/>
  <sheetViews>
    <sheetView topLeftCell="O1" zoomScale="90" zoomScaleNormal="90" workbookViewId="0">
      <pane ySplit="700" topLeftCell="A48" activePane="bottomLeft"/>
      <selection activeCell="O2" sqref="O2"/>
      <selection pane="bottomLeft" activeCell="S30" sqref="S30"/>
    </sheetView>
  </sheetViews>
  <sheetFormatPr baseColWidth="10" defaultColWidth="9.1640625" defaultRowHeight="13"/>
  <cols>
    <col min="1" max="1" width="8.1640625" customWidth="1"/>
    <col min="2" max="2" width="16.83203125" customWidth="1"/>
    <col min="3" max="3" width="13.5" customWidth="1"/>
    <col min="4" max="4" width="15.1640625" customWidth="1"/>
    <col min="6" max="6" width="7.5" customWidth="1"/>
    <col min="7" max="7" width="17.83203125" customWidth="1"/>
    <col min="8" max="8" width="13.5" customWidth="1"/>
    <col min="9" max="9" width="20.5" customWidth="1"/>
    <col min="11" max="13" width="10.1640625" customWidth="1"/>
    <col min="14" max="15" width="19.33203125" customWidth="1"/>
    <col min="16" max="17" width="16.83203125" customWidth="1"/>
    <col min="18" max="18" width="32.5" customWidth="1"/>
    <col min="19" max="22" width="12.6640625" customWidth="1"/>
    <col min="23" max="23" width="18.6640625" customWidth="1"/>
    <col min="24" max="24" width="16" customWidth="1"/>
    <col min="25" max="31" width="12.6640625" customWidth="1"/>
    <col min="32" max="32" width="9.1640625" customWidth="1"/>
    <col min="42" max="42" width="7.83203125" customWidth="1"/>
    <col min="43" max="43" width="18.83203125" customWidth="1"/>
    <col min="44" max="44" width="13.5" customWidth="1"/>
    <col min="45" max="46" width="14.5" customWidth="1"/>
    <col min="47" max="47" width="19.6640625" customWidth="1"/>
    <col min="48" max="48" width="8.33203125" customWidth="1"/>
    <col min="49" max="49" width="16.6640625" customWidth="1"/>
    <col min="50" max="50" width="13.33203125" customWidth="1"/>
    <col min="51" max="52" width="19.33203125" customWidth="1"/>
  </cols>
  <sheetData>
    <row r="1" spans="1:52">
      <c r="A1" s="113" t="s">
        <v>1843</v>
      </c>
      <c r="B1" s="113"/>
      <c r="C1" s="113"/>
      <c r="D1" s="98"/>
      <c r="F1" s="113" t="s">
        <v>1815</v>
      </c>
      <c r="G1" s="113"/>
      <c r="H1" s="113"/>
      <c r="I1" s="98"/>
      <c r="K1" s="113" t="s">
        <v>1842</v>
      </c>
      <c r="L1" s="113"/>
      <c r="M1" s="113"/>
      <c r="N1" s="113"/>
      <c r="O1" s="113"/>
      <c r="P1" s="113"/>
      <c r="Q1" s="113"/>
      <c r="R1" s="113"/>
      <c r="S1" s="100"/>
      <c r="T1" s="115" t="s">
        <v>1844</v>
      </c>
      <c r="U1" s="115"/>
      <c r="V1" s="115"/>
      <c r="W1" s="115"/>
      <c r="X1" s="115"/>
      <c r="Y1" s="115"/>
      <c r="Z1" s="115"/>
      <c r="AA1" s="115"/>
      <c r="AB1" s="100"/>
      <c r="AC1" s="100"/>
      <c r="AD1" s="100"/>
      <c r="AP1" s="113"/>
      <c r="AQ1" s="113"/>
      <c r="AR1" s="113"/>
      <c r="AS1" s="98"/>
      <c r="AT1" s="98"/>
      <c r="AV1" s="113"/>
      <c r="AW1" s="113"/>
      <c r="AX1" s="113"/>
      <c r="AY1" s="98"/>
      <c r="AZ1" s="98"/>
    </row>
    <row r="2" spans="1:52" ht="13.5" customHeight="1">
      <c r="A2" s="98" t="s">
        <v>1816</v>
      </c>
      <c r="B2" s="86" t="s">
        <v>1786</v>
      </c>
      <c r="C2" s="85" t="s">
        <v>1823</v>
      </c>
      <c r="D2" s="85" t="s">
        <v>1818</v>
      </c>
      <c r="F2" s="98" t="s">
        <v>1816</v>
      </c>
      <c r="G2" s="98" t="s">
        <v>1786</v>
      </c>
      <c r="H2" s="85" t="s">
        <v>1823</v>
      </c>
      <c r="I2" s="85" t="s">
        <v>1818</v>
      </c>
      <c r="K2" s="98" t="s">
        <v>1816</v>
      </c>
      <c r="L2" s="98" t="s">
        <v>6</v>
      </c>
      <c r="M2" s="98" t="s">
        <v>1825</v>
      </c>
      <c r="N2" s="98" t="s">
        <v>1786</v>
      </c>
      <c r="O2" s="98" t="s">
        <v>1817</v>
      </c>
      <c r="P2" s="85" t="s">
        <v>1823</v>
      </c>
      <c r="Q2" s="98" t="s">
        <v>1818</v>
      </c>
      <c r="R2" s="98" t="s">
        <v>1826</v>
      </c>
      <c r="S2" s="100"/>
      <c r="T2" s="101" t="s">
        <v>1816</v>
      </c>
      <c r="U2" s="101" t="s">
        <v>6</v>
      </c>
      <c r="V2" s="101" t="s">
        <v>1825</v>
      </c>
      <c r="W2" s="101" t="s">
        <v>1786</v>
      </c>
      <c r="X2" s="101" t="s">
        <v>1845</v>
      </c>
      <c r="Y2" s="101" t="s">
        <v>1823</v>
      </c>
      <c r="Z2" s="101" t="s">
        <v>1818</v>
      </c>
      <c r="AA2" s="101" t="s">
        <v>1826</v>
      </c>
      <c r="AB2" s="100"/>
      <c r="AC2" s="114"/>
      <c r="AD2" s="114"/>
      <c r="AF2" s="114"/>
      <c r="AG2" s="114"/>
      <c r="AH2" s="99"/>
      <c r="AP2" s="98"/>
      <c r="AQ2" s="86"/>
      <c r="AR2" s="85"/>
      <c r="AS2" s="85"/>
      <c r="AT2" s="85"/>
      <c r="AV2" s="98"/>
      <c r="AW2" s="98"/>
      <c r="AX2" s="85"/>
      <c r="AY2" s="85"/>
      <c r="AZ2" s="85"/>
    </row>
    <row r="3" spans="1:52">
      <c r="A3" s="3">
        <v>17</v>
      </c>
      <c r="B3" s="15">
        <v>0.4</v>
      </c>
      <c r="C3" s="83">
        <v>26.232571521528278</v>
      </c>
      <c r="D3" s="17" t="s">
        <v>1236</v>
      </c>
      <c r="F3" s="3">
        <v>50</v>
      </c>
      <c r="G3" s="15">
        <v>0.2</v>
      </c>
      <c r="H3" s="83">
        <v>0.92899906774379704</v>
      </c>
      <c r="I3" s="3" t="s">
        <v>1507</v>
      </c>
      <c r="K3" t="s">
        <v>1879</v>
      </c>
      <c r="L3">
        <v>2015</v>
      </c>
      <c r="M3" t="s">
        <v>1528</v>
      </c>
      <c r="N3" s="95">
        <v>0.36399999999999999</v>
      </c>
      <c r="O3">
        <v>6.4</v>
      </c>
      <c r="P3" s="34">
        <f>O3*(1/(INDEX(Currency!$A$1:$E$20,MATCH(L3,Currency!$A$1:$A$20,0),MATCH(M3,Currency!$A$1:$E$1,0))))*(Inflation!$B$23/(VLOOKUP(L3,Inflation!$A$1:$B$23,2,FALSE)))</f>
        <v>8.9942434560000013</v>
      </c>
      <c r="Q3" s="16" t="s">
        <v>1507</v>
      </c>
      <c r="R3" t="s">
        <v>1827</v>
      </c>
      <c r="T3">
        <v>347</v>
      </c>
      <c r="U3">
        <v>2001</v>
      </c>
      <c r="V3" s="22" t="s">
        <v>1502</v>
      </c>
      <c r="W3" s="102">
        <v>0.02</v>
      </c>
      <c r="X3">
        <v>-1</v>
      </c>
      <c r="Y3" s="34">
        <f>X3*(1/(INDEX(Currency!$A$1:$E$20,MATCH(U3,Currency!$A$1:$A$20,0),MATCH(V3,Currency!$A$1:$E$1,0))))*(Inflation!$B$23/(VLOOKUP(U3,Inflation!$A$1:$B$23,2,FALSE)))</f>
        <v>-1.3352101610580069</v>
      </c>
      <c r="Z3" s="22" t="s">
        <v>1530</v>
      </c>
      <c r="AA3" s="22" t="s">
        <v>1846</v>
      </c>
      <c r="AB3" s="22"/>
      <c r="AC3" s="103"/>
      <c r="AD3" s="104"/>
      <c r="AF3" s="108"/>
      <c r="AG3" s="82"/>
      <c r="AP3" s="3"/>
      <c r="AQ3" s="15"/>
      <c r="AR3" s="83"/>
      <c r="AS3" s="17"/>
      <c r="AT3" s="17"/>
      <c r="AV3" s="3"/>
      <c r="AW3" s="15"/>
      <c r="AX3" s="83"/>
      <c r="AY3" s="3"/>
      <c r="AZ3" s="3"/>
    </row>
    <row r="4" spans="1:52">
      <c r="A4" s="3">
        <v>17</v>
      </c>
      <c r="B4" s="15">
        <v>0.8</v>
      </c>
      <c r="C4" s="83">
        <v>17.657364715604523</v>
      </c>
      <c r="D4" s="17" t="s">
        <v>1236</v>
      </c>
      <c r="F4" s="1">
        <v>400</v>
      </c>
      <c r="G4" s="15">
        <v>0.02</v>
      </c>
      <c r="H4" s="83">
        <v>6.1507992359505383</v>
      </c>
      <c r="I4" s="3" t="s">
        <v>1522</v>
      </c>
      <c r="K4" t="s">
        <v>1879</v>
      </c>
      <c r="L4">
        <v>2015</v>
      </c>
      <c r="M4" t="s">
        <v>1528</v>
      </c>
      <c r="N4" s="95">
        <v>0.36299999999999999</v>
      </c>
      <c r="O4">
        <v>13.6</v>
      </c>
      <c r="P4" s="34">
        <f>O4*(1/(INDEX(Currency!$A$1:$E$20,MATCH(L4,Currency!$A$1:$A$20,0),MATCH(M4,Currency!$A$1:$E$1,0))))*(Inflation!$B$23/(VLOOKUP(L4,Inflation!$A$1:$B$23,2,FALSE)))</f>
        <v>19.112767344000002</v>
      </c>
      <c r="Q4" s="16" t="s">
        <v>1507</v>
      </c>
      <c r="R4" t="s">
        <v>1827</v>
      </c>
      <c r="T4">
        <v>347</v>
      </c>
      <c r="U4">
        <v>2004</v>
      </c>
      <c r="V4" s="22" t="s">
        <v>1502</v>
      </c>
      <c r="W4" s="102">
        <v>0.03</v>
      </c>
      <c r="X4">
        <v>0</v>
      </c>
      <c r="Y4" s="34">
        <f>X4*(1/(INDEX(Currency!$A$1:$E$20,MATCH(U4,Currency!$A$1:$A$20,0),MATCH(V4,Currency!$A$1:$E$1,0))))*(Inflation!$B$23/(VLOOKUP(U4,Inflation!$A$1:$B$23,2,FALSE)))</f>
        <v>0</v>
      </c>
      <c r="Z4" s="22" t="s">
        <v>1530</v>
      </c>
      <c r="AA4" s="22" t="s">
        <v>1846</v>
      </c>
      <c r="AB4" s="22"/>
      <c r="AC4" s="103"/>
      <c r="AD4" s="104"/>
      <c r="AF4" s="108"/>
      <c r="AG4" s="82"/>
      <c r="AP4" s="3"/>
      <c r="AQ4" s="15"/>
      <c r="AR4" s="83"/>
      <c r="AS4" s="17"/>
      <c r="AT4" s="17"/>
      <c r="AV4" s="1"/>
      <c r="AW4" s="15"/>
      <c r="AX4" s="83"/>
      <c r="AY4" s="3"/>
      <c r="AZ4" s="3"/>
    </row>
    <row r="5" spans="1:52">
      <c r="A5" s="3">
        <v>50</v>
      </c>
      <c r="B5" s="15">
        <v>0.04</v>
      </c>
      <c r="C5" s="83">
        <v>3.4407372879399885E-2</v>
      </c>
      <c r="D5" s="3" t="s">
        <v>1507</v>
      </c>
      <c r="F5" s="3">
        <v>400</v>
      </c>
      <c r="G5" s="15">
        <v>0.04</v>
      </c>
      <c r="H5" s="83">
        <v>8.5086056097315783</v>
      </c>
      <c r="I5" s="3" t="s">
        <v>1522</v>
      </c>
      <c r="K5" t="s">
        <v>1879</v>
      </c>
      <c r="L5">
        <v>2015</v>
      </c>
      <c r="M5" t="s">
        <v>1528</v>
      </c>
      <c r="N5" s="95">
        <v>0.36099999999999999</v>
      </c>
      <c r="O5">
        <v>23</v>
      </c>
      <c r="P5" s="34">
        <f>O5*(1/(INDEX(Currency!$A$1:$E$20,MATCH(L5,Currency!$A$1:$A$20,0),MATCH(M5,Currency!$A$1:$E$1,0))))*(Inflation!$B$23/(VLOOKUP(L5,Inflation!$A$1:$B$23,2,FALSE)))</f>
        <v>32.323062420000007</v>
      </c>
      <c r="Q5" s="16" t="s">
        <v>1507</v>
      </c>
      <c r="R5" t="s">
        <v>1827</v>
      </c>
      <c r="T5">
        <v>347</v>
      </c>
      <c r="U5">
        <v>2005</v>
      </c>
      <c r="V5" s="22" t="s">
        <v>1502</v>
      </c>
      <c r="W5" s="102">
        <v>3.5000000000000003E-2</v>
      </c>
      <c r="X5">
        <v>0</v>
      </c>
      <c r="Y5" s="34">
        <f>X5*(1/(INDEX(Currency!$A$1:$E$20,MATCH(U5,Currency!$A$1:$A$20,0),MATCH(V5,Currency!$A$1:$E$1,0))))*(Inflation!$B$23/(VLOOKUP(U5,Inflation!$A$1:$B$23,2,FALSE)))</f>
        <v>0</v>
      </c>
      <c r="Z5" s="22" t="s">
        <v>1530</v>
      </c>
      <c r="AA5" s="22" t="s">
        <v>1846</v>
      </c>
      <c r="AB5" s="22"/>
      <c r="AC5" s="103"/>
      <c r="AD5" s="104"/>
      <c r="AF5" s="108"/>
      <c r="AG5" s="82"/>
      <c r="AP5" s="3"/>
      <c r="AQ5" s="15"/>
      <c r="AR5" s="83"/>
      <c r="AS5" s="3"/>
      <c r="AT5" s="3"/>
      <c r="AV5" s="3"/>
      <c r="AW5" s="15"/>
      <c r="AX5" s="83"/>
      <c r="AY5" s="3"/>
      <c r="AZ5" s="3"/>
    </row>
    <row r="6" spans="1:52">
      <c r="A6" s="3">
        <v>50</v>
      </c>
      <c r="B6" s="15">
        <v>0.08</v>
      </c>
      <c r="C6" s="83">
        <v>0.13762949151759954</v>
      </c>
      <c r="D6" s="3" t="s">
        <v>1507</v>
      </c>
      <c r="F6" s="3">
        <v>400</v>
      </c>
      <c r="G6" s="15">
        <v>0.06</v>
      </c>
      <c r="H6" s="83">
        <v>10.866411983512617</v>
      </c>
      <c r="I6" s="3" t="s">
        <v>1522</v>
      </c>
      <c r="K6" t="s">
        <v>1879</v>
      </c>
      <c r="L6">
        <v>2015</v>
      </c>
      <c r="M6" t="s">
        <v>1528</v>
      </c>
      <c r="N6" s="95">
        <v>0.47</v>
      </c>
      <c r="O6">
        <v>36.9</v>
      </c>
      <c r="P6" s="34">
        <f>O6*(1/(INDEX(Currency!$A$1:$E$20,MATCH(L6,Currency!$A$1:$A$20,0),MATCH(M6,Currency!$A$1:$E$1,0))))*(Inflation!$B$23/(VLOOKUP(L6,Inflation!$A$1:$B$23,2,FALSE)))</f>
        <v>51.857434926000003</v>
      </c>
      <c r="Q6" s="16" t="s">
        <v>1507</v>
      </c>
      <c r="R6" t="s">
        <v>1827</v>
      </c>
      <c r="T6">
        <v>347</v>
      </c>
      <c r="U6">
        <v>2006</v>
      </c>
      <c r="V6" s="22" t="s">
        <v>1502</v>
      </c>
      <c r="W6" s="102">
        <v>4.7E-2</v>
      </c>
      <c r="X6">
        <v>2</v>
      </c>
      <c r="Y6" s="34">
        <f>X6*(1/(INDEX(Currency!$A$1:$E$20,MATCH(U6,Currency!$A$1:$A$20,0),MATCH(V6,Currency!$A$1:$E$1,0))))*(Inflation!$B$23/(VLOOKUP(U6,Inflation!$A$1:$B$23,2,FALSE)))</f>
        <v>2.4086453289240581</v>
      </c>
      <c r="Z6" s="22" t="s">
        <v>1530</v>
      </c>
      <c r="AA6" s="22" t="s">
        <v>1846</v>
      </c>
      <c r="AB6" s="22"/>
      <c r="AC6" s="103"/>
      <c r="AD6" s="104"/>
      <c r="AF6" s="108"/>
      <c r="AG6" s="82"/>
      <c r="AP6" s="3"/>
      <c r="AQ6" s="15"/>
      <c r="AR6" s="83"/>
      <c r="AS6" s="3"/>
      <c r="AT6" s="3"/>
      <c r="AV6" s="3"/>
      <c r="AW6" s="15"/>
      <c r="AX6" s="83"/>
      <c r="AY6" s="3"/>
      <c r="AZ6" s="3"/>
    </row>
    <row r="7" spans="1:52">
      <c r="A7" s="3">
        <v>50</v>
      </c>
      <c r="B7" s="15">
        <v>0.12</v>
      </c>
      <c r="C7" s="83">
        <v>0.2580552965954992</v>
      </c>
      <c r="D7" s="3" t="s">
        <v>1507</v>
      </c>
      <c r="F7" s="3">
        <v>400</v>
      </c>
      <c r="G7" s="15">
        <v>0.08</v>
      </c>
      <c r="H7" s="83">
        <v>11.99405851010355</v>
      </c>
      <c r="I7" s="3" t="s">
        <v>1522</v>
      </c>
      <c r="K7" t="s">
        <v>1879</v>
      </c>
      <c r="L7">
        <v>2015</v>
      </c>
      <c r="M7" t="s">
        <v>1528</v>
      </c>
      <c r="N7" s="95">
        <v>0.48</v>
      </c>
      <c r="O7">
        <v>35.4</v>
      </c>
      <c r="P7" s="34">
        <f>O7*(1/(INDEX(Currency!$A$1:$E$20,MATCH(L7,Currency!$A$1:$A$20,0),MATCH(M7,Currency!$A$1:$E$1,0))))*(Inflation!$B$23/(VLOOKUP(L7,Inflation!$A$1:$B$23,2,FALSE)))</f>
        <v>49.749409116000002</v>
      </c>
      <c r="Q7" s="16" t="s">
        <v>1507</v>
      </c>
      <c r="R7" t="s">
        <v>1827</v>
      </c>
      <c r="T7">
        <v>347</v>
      </c>
      <c r="U7">
        <v>2007</v>
      </c>
      <c r="V7" s="22" t="s">
        <v>1502</v>
      </c>
      <c r="W7" s="102">
        <v>4.9000000000000002E-2</v>
      </c>
      <c r="X7">
        <v>5</v>
      </c>
      <c r="Y7" s="34">
        <f>X7*(1/(INDEX(Currency!$A$1:$E$20,MATCH(U7,Currency!$A$1:$A$20,0),MATCH(V7,Currency!$A$1:$E$1,0))))*(Inflation!$B$23/(VLOOKUP(U7,Inflation!$A$1:$B$23,2,FALSE)))</f>
        <v>5.8840161569532601</v>
      </c>
      <c r="Z7" s="22" t="s">
        <v>1530</v>
      </c>
      <c r="AA7" s="22" t="s">
        <v>1846</v>
      </c>
      <c r="AB7" s="22"/>
      <c r="AC7" s="103"/>
      <c r="AD7" s="104"/>
      <c r="AF7" s="108"/>
      <c r="AG7" s="82"/>
      <c r="AP7" s="3"/>
      <c r="AQ7" s="15"/>
      <c r="AR7" s="83"/>
      <c r="AS7" s="3"/>
      <c r="AT7" s="3"/>
      <c r="AV7" s="3"/>
      <c r="AW7" s="15"/>
      <c r="AX7" s="83"/>
      <c r="AY7" s="3"/>
      <c r="AZ7" s="3"/>
    </row>
    <row r="8" spans="1:52">
      <c r="A8" s="3">
        <v>50</v>
      </c>
      <c r="B8" s="15">
        <v>0.16</v>
      </c>
      <c r="C8" s="83">
        <v>0.37848110167339882</v>
      </c>
      <c r="D8" s="3" t="s">
        <v>1507</v>
      </c>
      <c r="F8" s="3">
        <v>400</v>
      </c>
      <c r="G8" s="15">
        <v>0.1</v>
      </c>
      <c r="H8" s="83">
        <v>12.609138433698604</v>
      </c>
      <c r="I8" s="3" t="s">
        <v>1522</v>
      </c>
      <c r="K8" t="s">
        <v>1879</v>
      </c>
      <c r="L8">
        <v>2015</v>
      </c>
      <c r="M8" t="s">
        <v>1528</v>
      </c>
      <c r="N8" s="95">
        <v>0.51200000000000001</v>
      </c>
      <c r="O8">
        <v>13.9</v>
      </c>
      <c r="P8" s="34">
        <f>O8*(1/(INDEX(Currency!$A$1:$E$20,MATCH(L8,Currency!$A$1:$A$20,0),MATCH(M8,Currency!$A$1:$E$1,0))))*(Inflation!$B$23/(VLOOKUP(L8,Inflation!$A$1:$B$23,2,FALSE)))</f>
        <v>19.534372506</v>
      </c>
      <c r="Q8" s="16" t="s">
        <v>1507</v>
      </c>
      <c r="R8" t="s">
        <v>1827</v>
      </c>
      <c r="T8">
        <v>347</v>
      </c>
      <c r="U8">
        <v>2008</v>
      </c>
      <c r="V8" s="22" t="s">
        <v>1502</v>
      </c>
      <c r="W8" s="102">
        <v>5.5E-2</v>
      </c>
      <c r="X8">
        <v>6</v>
      </c>
      <c r="Y8" s="34">
        <f>X8*(1/(INDEX(Currency!$A$1:$E$20,MATCH(U8,Currency!$A$1:$A$20,0),MATCH(V8,Currency!$A$1:$E$1,0))))*(Inflation!$B$23/(VLOOKUP(U8,Inflation!$A$1:$B$23,2,FALSE)))</f>
        <v>6.8116232464929869</v>
      </c>
      <c r="Z8" s="22" t="s">
        <v>1530</v>
      </c>
      <c r="AA8" s="22" t="s">
        <v>1846</v>
      </c>
      <c r="AB8" s="22"/>
      <c r="AC8" s="103"/>
      <c r="AD8" s="104"/>
      <c r="AF8" s="108"/>
      <c r="AG8" s="82"/>
      <c r="AP8" s="3"/>
      <c r="AQ8" s="15"/>
      <c r="AR8" s="83"/>
      <c r="AS8" s="3"/>
      <c r="AT8" s="3"/>
      <c r="AV8" s="3"/>
      <c r="AW8" s="15"/>
      <c r="AX8" s="83"/>
      <c r="AY8" s="3"/>
      <c r="AZ8" s="3"/>
    </row>
    <row r="9" spans="1:52">
      <c r="A9" s="3">
        <v>50</v>
      </c>
      <c r="B9" s="15">
        <v>0.2</v>
      </c>
      <c r="C9" s="83">
        <v>0.51611059319099839</v>
      </c>
      <c r="D9" s="3" t="s">
        <v>1507</v>
      </c>
      <c r="F9" s="3">
        <v>400</v>
      </c>
      <c r="G9" s="15">
        <v>0.12</v>
      </c>
      <c r="H9" s="83">
        <v>13.121705036694483</v>
      </c>
      <c r="I9" s="3" t="s">
        <v>1522</v>
      </c>
      <c r="K9" t="s">
        <v>1879</v>
      </c>
      <c r="L9">
        <v>2015</v>
      </c>
      <c r="M9" t="s">
        <v>1528</v>
      </c>
      <c r="N9" s="95">
        <v>0.51800000000000002</v>
      </c>
      <c r="O9">
        <v>12.8</v>
      </c>
      <c r="P9" s="34">
        <f>O9*(1/(INDEX(Currency!$A$1:$E$20,MATCH(L9,Currency!$A$1:$A$20,0),MATCH(M9,Currency!$A$1:$E$1,0))))*(Inflation!$B$23/(VLOOKUP(L9,Inflation!$A$1:$B$23,2,FALSE)))</f>
        <v>17.988486912000003</v>
      </c>
      <c r="Q9" s="16" t="s">
        <v>1507</v>
      </c>
      <c r="R9" t="s">
        <v>1827</v>
      </c>
      <c r="T9">
        <v>347</v>
      </c>
      <c r="U9">
        <v>2009</v>
      </c>
      <c r="V9" s="22" t="s">
        <v>1502</v>
      </c>
      <c r="W9" s="102">
        <v>7.0999999999999994E-2</v>
      </c>
      <c r="X9">
        <v>3</v>
      </c>
      <c r="Y9" s="34">
        <f>X9*(1/(INDEX(Currency!$A$1:$E$20,MATCH(U9,Currency!$A$1:$A$20,0),MATCH(V9,Currency!$A$1:$E$1,0))))*(Inflation!$B$23/(VLOOKUP(U9,Inflation!$A$1:$B$23,2,FALSE)))</f>
        <v>3.3723955462462798</v>
      </c>
      <c r="Z9" s="22" t="s">
        <v>1530</v>
      </c>
      <c r="AA9" s="22" t="s">
        <v>1846</v>
      </c>
      <c r="AB9" s="22"/>
      <c r="AC9" s="103"/>
      <c r="AD9" s="104"/>
      <c r="AF9" s="108"/>
      <c r="AG9" s="82"/>
      <c r="AP9" s="3"/>
      <c r="AQ9" s="15"/>
      <c r="AR9" s="83"/>
      <c r="AS9" s="3"/>
      <c r="AT9" s="3"/>
      <c r="AV9" s="3"/>
      <c r="AW9" s="15"/>
      <c r="AX9" s="83"/>
      <c r="AY9" s="3"/>
      <c r="AZ9" s="3"/>
    </row>
    <row r="10" spans="1:52">
      <c r="A10" s="3">
        <v>50</v>
      </c>
      <c r="B10" s="15">
        <v>0.04</v>
      </c>
      <c r="C10" s="83">
        <v>8.6018432198499722E-2</v>
      </c>
      <c r="D10" s="3" t="s">
        <v>1507</v>
      </c>
      <c r="F10" s="3">
        <v>400</v>
      </c>
      <c r="G10" s="15">
        <v>0.14000000000000001</v>
      </c>
      <c r="H10" s="83">
        <v>13.531758319091184</v>
      </c>
      <c r="I10" s="3" t="s">
        <v>1522</v>
      </c>
      <c r="K10" t="s">
        <v>1879</v>
      </c>
      <c r="L10">
        <v>2015</v>
      </c>
      <c r="M10" t="s">
        <v>1528</v>
      </c>
      <c r="N10" s="95">
        <v>0.51300000000000001</v>
      </c>
      <c r="O10">
        <v>7.1</v>
      </c>
      <c r="P10" s="34">
        <f>O10*(1/(INDEX(Currency!$A$1:$E$20,MATCH(L10,Currency!$A$1:$A$20,0),MATCH(M10,Currency!$A$1:$E$1,0))))*(Inflation!$B$23/(VLOOKUP(L10,Inflation!$A$1:$B$23,2,FALSE)))</f>
        <v>9.9779888340000014</v>
      </c>
      <c r="Q10" s="16" t="s">
        <v>1507</v>
      </c>
      <c r="R10" t="s">
        <v>1827</v>
      </c>
      <c r="T10">
        <v>347</v>
      </c>
      <c r="U10">
        <v>2010</v>
      </c>
      <c r="V10" s="22" t="s">
        <v>1502</v>
      </c>
      <c r="W10" s="102">
        <v>7.2999999999999995E-2</v>
      </c>
      <c r="X10">
        <v>2</v>
      </c>
      <c r="Y10" s="34">
        <f>X10*(1/(INDEX(Currency!$A$1:$E$20,MATCH(U10,Currency!$A$1:$A$20,0),MATCH(V10,Currency!$A$1:$E$1,0))))*(Inflation!$B$23/(VLOOKUP(U10,Inflation!$A$1:$B$23,2,FALSE)))</f>
        <v>2.2023758099352051</v>
      </c>
      <c r="Z10" s="22" t="s">
        <v>1530</v>
      </c>
      <c r="AA10" s="22" t="s">
        <v>1846</v>
      </c>
      <c r="AB10" s="22"/>
      <c r="AC10" s="103"/>
      <c r="AD10" s="104"/>
      <c r="AF10" s="108"/>
      <c r="AG10" s="82"/>
      <c r="AP10" s="3"/>
      <c r="AQ10" s="15"/>
      <c r="AR10" s="83"/>
      <c r="AS10" s="3"/>
      <c r="AT10" s="3"/>
      <c r="AV10" s="3"/>
      <c r="AW10" s="15"/>
      <c r="AX10" s="83"/>
      <c r="AY10" s="3"/>
      <c r="AZ10" s="3"/>
    </row>
    <row r="11" spans="1:52">
      <c r="A11" s="3">
        <v>50</v>
      </c>
      <c r="B11" s="15">
        <v>0.08</v>
      </c>
      <c r="C11" s="83">
        <v>0.2580552965954992</v>
      </c>
      <c r="D11" s="3" t="s">
        <v>1507</v>
      </c>
      <c r="F11" s="3">
        <v>400</v>
      </c>
      <c r="G11" s="15">
        <v>0.16</v>
      </c>
      <c r="H11" s="83">
        <v>13.736784960289537</v>
      </c>
      <c r="I11" s="3" t="s">
        <v>1522</v>
      </c>
      <c r="K11" t="s">
        <v>1879</v>
      </c>
      <c r="L11">
        <v>2015</v>
      </c>
      <c r="M11" t="s">
        <v>1528</v>
      </c>
      <c r="N11" s="95">
        <v>0.51900000000000002</v>
      </c>
      <c r="O11">
        <v>8.1999999999999993</v>
      </c>
      <c r="P11" s="34">
        <f>O11*(1/(INDEX(Currency!$A$1:$E$20,MATCH(L11,Currency!$A$1:$A$20,0),MATCH(M11,Currency!$A$1:$E$1,0))))*(Inflation!$B$23/(VLOOKUP(L11,Inflation!$A$1:$B$23,2,FALSE)))</f>
        <v>11.523874428000001</v>
      </c>
      <c r="Q11" s="16" t="s">
        <v>1507</v>
      </c>
      <c r="R11" t="s">
        <v>1827</v>
      </c>
      <c r="T11">
        <v>347</v>
      </c>
      <c r="U11">
        <v>2011</v>
      </c>
      <c r="V11" s="22" t="s">
        <v>1502</v>
      </c>
      <c r="W11" s="102">
        <v>8.7999999999999995E-2</v>
      </c>
      <c r="X11">
        <v>3</v>
      </c>
      <c r="Y11" s="34">
        <f>X11*(1/(INDEX(Currency!$A$1:$E$20,MATCH(U11,Currency!$A$1:$A$20,0),MATCH(V11,Currency!$A$1:$E$1,0))))*(Inflation!$B$23/(VLOOKUP(U11,Inflation!$A$1:$B$23,2,FALSE)))</f>
        <v>3.2042526448098885</v>
      </c>
      <c r="Z11" s="22" t="s">
        <v>1530</v>
      </c>
      <c r="AA11" s="22" t="s">
        <v>1846</v>
      </c>
      <c r="AB11" s="22"/>
      <c r="AC11" s="103"/>
      <c r="AD11" s="104"/>
      <c r="AF11" s="108"/>
      <c r="AG11" s="82"/>
      <c r="AP11" s="3"/>
      <c r="AQ11" s="15"/>
      <c r="AR11" s="83"/>
      <c r="AS11" s="3"/>
      <c r="AT11" s="3"/>
      <c r="AV11" s="3"/>
      <c r="AW11" s="15"/>
      <c r="AX11" s="83"/>
      <c r="AY11" s="3"/>
      <c r="AZ11" s="3"/>
    </row>
    <row r="12" spans="1:52">
      <c r="A12" s="3">
        <v>50</v>
      </c>
      <c r="B12" s="15">
        <v>0.12</v>
      </c>
      <c r="C12" s="83">
        <v>0.46449953387189852</v>
      </c>
      <c r="D12" s="3" t="s">
        <v>1507</v>
      </c>
      <c r="F12" s="3">
        <v>400</v>
      </c>
      <c r="G12" s="15">
        <v>0.18</v>
      </c>
      <c r="H12" s="83">
        <v>13.941811601487887</v>
      </c>
      <c r="I12" s="3" t="s">
        <v>1522</v>
      </c>
      <c r="K12">
        <v>456</v>
      </c>
      <c r="L12">
        <v>2015</v>
      </c>
      <c r="M12" t="s">
        <v>1528</v>
      </c>
      <c r="N12" s="95">
        <v>0.26600000000000001</v>
      </c>
      <c r="O12">
        <v>10.6</v>
      </c>
      <c r="P12" s="34">
        <f>O12*(1/(INDEX(Currency!$A$1:$E$20,MATCH(L12,Currency!$A$1:$A$20,0),MATCH(M12,Currency!$A$1:$E$1,0))))*(Inflation!$B$23/(VLOOKUP(L12,Inflation!$A$1:$B$23,2,FALSE)))</f>
        <v>14.896715724000002</v>
      </c>
      <c r="Q12" s="16" t="s">
        <v>1507</v>
      </c>
      <c r="R12" t="s">
        <v>1828</v>
      </c>
      <c r="T12">
        <v>347</v>
      </c>
      <c r="U12">
        <v>2012</v>
      </c>
      <c r="V12" s="22" t="s">
        <v>1502</v>
      </c>
      <c r="W12" s="102">
        <v>0.08</v>
      </c>
      <c r="X12">
        <v>5</v>
      </c>
      <c r="Y12" s="34">
        <f>X12*(1/(INDEX(Currency!$A$1:$E$20,MATCH(U12,Currency!$A$1:$A$20,0),MATCH(V12,Currency!$A$1:$E$1,0))))*(Inflation!$B$23/(VLOOKUP(U12,Inflation!$A$1:$B$23,2,FALSE)))</f>
        <v>5.2030819471374636</v>
      </c>
      <c r="Z12" s="22" t="s">
        <v>1530</v>
      </c>
      <c r="AA12" s="22" t="s">
        <v>1846</v>
      </c>
      <c r="AB12" s="22"/>
      <c r="AC12" s="103"/>
      <c r="AD12" s="104"/>
      <c r="AF12" s="108"/>
      <c r="AG12" s="82"/>
      <c r="AP12" s="3"/>
      <c r="AQ12" s="15"/>
      <c r="AR12" s="83"/>
      <c r="AS12" s="3"/>
      <c r="AT12" s="3"/>
      <c r="AV12" s="3"/>
      <c r="AW12" s="15"/>
      <c r="AX12" s="83"/>
      <c r="AY12" s="3"/>
      <c r="AZ12" s="3"/>
    </row>
    <row r="13" spans="1:52">
      <c r="A13" s="3">
        <v>50</v>
      </c>
      <c r="B13" s="15">
        <v>0.16</v>
      </c>
      <c r="C13" s="83">
        <v>0.70535114402769761</v>
      </c>
      <c r="D13" s="3" t="s">
        <v>1507</v>
      </c>
      <c r="F13" s="3">
        <v>400</v>
      </c>
      <c r="G13" s="15">
        <v>0.02</v>
      </c>
      <c r="H13" s="83">
        <v>6.1507992359505383</v>
      </c>
      <c r="I13" s="3" t="s">
        <v>1522</v>
      </c>
      <c r="K13">
        <v>456</v>
      </c>
      <c r="L13">
        <v>2015</v>
      </c>
      <c r="M13" t="s">
        <v>1528</v>
      </c>
      <c r="N13" s="95">
        <v>0.37</v>
      </c>
      <c r="O13">
        <v>31.8</v>
      </c>
      <c r="P13" s="34">
        <f>O13*(1/(INDEX(Currency!$A$1:$E$20,MATCH(L13,Currency!$A$1:$A$20,0),MATCH(M13,Currency!$A$1:$E$1,0))))*(Inflation!$B$23/(VLOOKUP(L13,Inflation!$A$1:$B$23,2,FALSE)))</f>
        <v>44.69014717200001</v>
      </c>
      <c r="Q13" s="16" t="s">
        <v>1507</v>
      </c>
      <c r="R13" t="s">
        <v>1828</v>
      </c>
      <c r="T13">
        <v>347</v>
      </c>
      <c r="U13">
        <v>2006</v>
      </c>
      <c r="V13" s="22" t="s">
        <v>1502</v>
      </c>
      <c r="W13" s="102">
        <v>4.0000000000000001E-3</v>
      </c>
      <c r="X13">
        <v>-17</v>
      </c>
      <c r="Y13" s="34">
        <f>X13*(1/(INDEX(Currency!$A$1:$E$20,MATCH(U13,Currency!$A$1:$A$20,0),MATCH(V13,Currency!$A$1:$E$1,0))))*(Inflation!$B$23/(VLOOKUP(U13,Inflation!$A$1:$B$23,2,FALSE)))</f>
        <v>-20.473485295854495</v>
      </c>
      <c r="Z13" s="22" t="s">
        <v>1530</v>
      </c>
      <c r="AA13" s="22" t="s">
        <v>1847</v>
      </c>
      <c r="AB13" s="22"/>
      <c r="AC13" s="103"/>
      <c r="AD13" s="104"/>
      <c r="AF13" s="108"/>
      <c r="AG13" s="82"/>
      <c r="AP13" s="3"/>
      <c r="AQ13" s="15"/>
      <c r="AR13" s="83"/>
      <c r="AS13" s="3"/>
      <c r="AT13" s="3"/>
      <c r="AV13" s="3"/>
      <c r="AW13" s="15"/>
      <c r="AX13" s="83"/>
      <c r="AY13" s="3"/>
      <c r="AZ13" s="3"/>
    </row>
    <row r="14" spans="1:52">
      <c r="A14" s="3">
        <v>50</v>
      </c>
      <c r="B14" s="15">
        <v>0.2</v>
      </c>
      <c r="C14" s="83">
        <v>0.94620275418349697</v>
      </c>
      <c r="D14" s="3" t="s">
        <v>1507</v>
      </c>
      <c r="F14" s="3">
        <v>400</v>
      </c>
      <c r="G14" s="15">
        <v>0.04</v>
      </c>
      <c r="H14" s="83">
        <v>8.5086056097315783</v>
      </c>
      <c r="I14" s="3" t="s">
        <v>1522</v>
      </c>
      <c r="K14">
        <v>456</v>
      </c>
      <c r="L14">
        <v>2015</v>
      </c>
      <c r="M14" t="s">
        <v>1528</v>
      </c>
      <c r="N14" s="95">
        <v>0.504</v>
      </c>
      <c r="O14">
        <v>48.4</v>
      </c>
      <c r="P14" s="34">
        <f>O14*(1/(INDEX(Currency!$A$1:$E$20,MATCH(L14,Currency!$A$1:$A$20,0),MATCH(M14,Currency!$A$1:$E$1,0))))*(Inflation!$B$23/(VLOOKUP(L14,Inflation!$A$1:$B$23,2,FALSE)))</f>
        <v>68.018966136000003</v>
      </c>
      <c r="Q14" s="16" t="s">
        <v>1507</v>
      </c>
      <c r="R14" t="s">
        <v>1828</v>
      </c>
      <c r="T14">
        <v>347</v>
      </c>
      <c r="U14">
        <v>2007</v>
      </c>
      <c r="V14" s="22" t="s">
        <v>1502</v>
      </c>
      <c r="W14" s="102">
        <v>5.0000000000000001E-3</v>
      </c>
      <c r="X14">
        <v>-6</v>
      </c>
      <c r="Y14" s="34">
        <f>X14*(1/(INDEX(Currency!$A$1:$E$20,MATCH(U14,Currency!$A$1:$A$20,0),MATCH(V14,Currency!$A$1:$E$1,0))))*(Inflation!$B$23/(VLOOKUP(U14,Inflation!$A$1:$B$23,2,FALSE)))</f>
        <v>-7.0608193883439121</v>
      </c>
      <c r="Z14" s="22" t="s">
        <v>1530</v>
      </c>
      <c r="AA14" s="22" t="s">
        <v>1847</v>
      </c>
      <c r="AB14" s="22"/>
      <c r="AC14" s="103"/>
      <c r="AD14" s="104"/>
      <c r="AF14" s="108"/>
      <c r="AG14" s="82"/>
      <c r="AH14" s="82"/>
      <c r="AP14" s="3"/>
      <c r="AQ14" s="15"/>
      <c r="AR14" s="83"/>
      <c r="AS14" s="3"/>
      <c r="AT14" s="3"/>
      <c r="AV14" s="3"/>
      <c r="AW14" s="15"/>
      <c r="AX14" s="83"/>
      <c r="AY14" s="3"/>
      <c r="AZ14" s="3"/>
    </row>
    <row r="15" spans="1:52">
      <c r="A15" s="3">
        <v>336</v>
      </c>
      <c r="B15" s="15">
        <v>0.33</v>
      </c>
      <c r="C15" s="83">
        <v>20.232619430179959</v>
      </c>
      <c r="D15" s="3" t="s">
        <v>1508</v>
      </c>
      <c r="F15" s="3">
        <v>400</v>
      </c>
      <c r="G15" s="15">
        <v>0.06</v>
      </c>
      <c r="H15" s="83">
        <v>10.558872021715091</v>
      </c>
      <c r="I15" s="3" t="s">
        <v>1522</v>
      </c>
      <c r="K15">
        <v>456</v>
      </c>
      <c r="L15">
        <v>2015</v>
      </c>
      <c r="M15" t="s">
        <v>1528</v>
      </c>
      <c r="N15" s="95">
        <v>0.26600000000000001</v>
      </c>
      <c r="O15">
        <v>10.199999999999999</v>
      </c>
      <c r="P15" s="34">
        <f>O15*(1/(INDEX(Currency!$A$1:$E$20,MATCH(L15,Currency!$A$1:$A$20,0),MATCH(M15,Currency!$A$1:$E$1,0))))*(Inflation!$B$23/(VLOOKUP(L15,Inflation!$A$1:$B$23,2,FALSE)))</f>
        <v>14.334575508</v>
      </c>
      <c r="Q15" s="16" t="s">
        <v>1507</v>
      </c>
      <c r="R15" t="s">
        <v>1829</v>
      </c>
      <c r="T15">
        <v>347</v>
      </c>
      <c r="U15">
        <v>2008</v>
      </c>
      <c r="V15" s="22" t="s">
        <v>1502</v>
      </c>
      <c r="W15" s="102">
        <v>7.0000000000000001E-3</v>
      </c>
      <c r="X15">
        <v>-16</v>
      </c>
      <c r="Y15" s="34">
        <f>X15*(1/(INDEX(Currency!$A$1:$E$20,MATCH(U15,Currency!$A$1:$A$20,0),MATCH(V15,Currency!$A$1:$E$1,0))))*(Inflation!$B$23/(VLOOKUP(U15,Inflation!$A$1:$B$23,2,FALSE)))</f>
        <v>-18.164328657314631</v>
      </c>
      <c r="Z15" s="22" t="s">
        <v>1530</v>
      </c>
      <c r="AA15" s="22" t="s">
        <v>1847</v>
      </c>
      <c r="AB15" s="22"/>
      <c r="AC15" s="103"/>
      <c r="AD15" s="104"/>
      <c r="AF15" s="108"/>
      <c r="AG15" s="82"/>
      <c r="AP15" s="3"/>
      <c r="AQ15" s="15"/>
      <c r="AR15" s="83"/>
      <c r="AS15" s="3"/>
      <c r="AT15" s="3"/>
      <c r="AV15" s="3"/>
      <c r="AW15" s="15"/>
      <c r="AX15" s="83"/>
      <c r="AY15" s="3"/>
      <c r="AZ15" s="3"/>
    </row>
    <row r="16" spans="1:52">
      <c r="A16" s="19">
        <v>355</v>
      </c>
      <c r="B16" s="15">
        <v>0.05</v>
      </c>
      <c r="C16" s="83">
        <v>3.3665374484769277</v>
      </c>
      <c r="D16" s="65" t="s">
        <v>1518</v>
      </c>
      <c r="F16" s="3">
        <v>400</v>
      </c>
      <c r="G16" s="15">
        <v>0.08</v>
      </c>
      <c r="H16" s="83">
        <v>10.558872021715091</v>
      </c>
      <c r="I16" s="3" t="s">
        <v>1522</v>
      </c>
      <c r="K16">
        <v>456</v>
      </c>
      <c r="L16">
        <v>2015</v>
      </c>
      <c r="M16" t="s">
        <v>1528</v>
      </c>
      <c r="N16" s="95">
        <v>0.37</v>
      </c>
      <c r="O16">
        <v>11</v>
      </c>
      <c r="P16" s="34">
        <f>O16*(1/(INDEX(Currency!$A$1:$E$20,MATCH(L16,Currency!$A$1:$A$20,0),MATCH(M16,Currency!$A$1:$E$1,0))))*(Inflation!$B$23/(VLOOKUP(L16,Inflation!$A$1:$B$23,2,FALSE)))</f>
        <v>15.458855940000003</v>
      </c>
      <c r="Q16" s="16" t="s">
        <v>1507</v>
      </c>
      <c r="R16" t="s">
        <v>1829</v>
      </c>
      <c r="T16">
        <v>347</v>
      </c>
      <c r="U16">
        <v>2009</v>
      </c>
      <c r="V16" s="22" t="s">
        <v>1502</v>
      </c>
      <c r="W16" s="102">
        <v>1.0999999999999999E-2</v>
      </c>
      <c r="X16">
        <v>-5</v>
      </c>
      <c r="Y16" s="34">
        <f>X16*(1/(INDEX(Currency!$A$1:$E$20,MATCH(U16,Currency!$A$1:$A$20,0),MATCH(V16,Currency!$A$1:$E$1,0))))*(Inflation!$B$23/(VLOOKUP(U16,Inflation!$A$1:$B$23,2,FALSE)))</f>
        <v>-5.6206592437438001</v>
      </c>
      <c r="Z16" s="22" t="s">
        <v>1530</v>
      </c>
      <c r="AA16" s="22" t="s">
        <v>1847</v>
      </c>
      <c r="AB16" s="22"/>
      <c r="AC16" s="103"/>
      <c r="AD16" s="104"/>
      <c r="AF16" s="108"/>
      <c r="AG16" s="82"/>
      <c r="AP16" s="19"/>
      <c r="AQ16" s="15"/>
      <c r="AR16" s="83"/>
      <c r="AS16" s="65"/>
      <c r="AT16" s="65"/>
      <c r="AV16" s="3"/>
      <c r="AW16" s="15"/>
      <c r="AX16" s="83"/>
      <c r="AY16" s="3"/>
      <c r="AZ16" s="3"/>
    </row>
    <row r="17" spans="1:52">
      <c r="A17" s="19">
        <v>355</v>
      </c>
      <c r="B17" s="15">
        <v>0.1</v>
      </c>
      <c r="C17" s="83">
        <v>4.1415381522066959</v>
      </c>
      <c r="D17" s="65" t="s">
        <v>1518</v>
      </c>
      <c r="F17" s="3">
        <v>400</v>
      </c>
      <c r="G17" s="15">
        <v>0.1</v>
      </c>
      <c r="H17" s="83">
        <v>11.276465265909319</v>
      </c>
      <c r="I17" s="3" t="s">
        <v>1522</v>
      </c>
      <c r="K17">
        <v>456</v>
      </c>
      <c r="L17">
        <v>2015</v>
      </c>
      <c r="M17" t="s">
        <v>1528</v>
      </c>
      <c r="N17" s="95">
        <v>0.47</v>
      </c>
      <c r="O17">
        <v>11.2</v>
      </c>
      <c r="P17" s="34">
        <f>O17*(1/(INDEX(Currency!$A$1:$E$20,MATCH(L17,Currency!$A$1:$A$20,0),MATCH(M17,Currency!$A$1:$E$1,0))))*(Inflation!$B$23/(VLOOKUP(L17,Inflation!$A$1:$B$23,2,FALSE)))</f>
        <v>15.739926048000001</v>
      </c>
      <c r="Q17" s="16" t="s">
        <v>1507</v>
      </c>
      <c r="R17" t="s">
        <v>1829</v>
      </c>
      <c r="T17">
        <v>347</v>
      </c>
      <c r="U17">
        <v>2010</v>
      </c>
      <c r="V17" s="22" t="s">
        <v>1502</v>
      </c>
      <c r="W17" s="102">
        <v>2.1000000000000001E-2</v>
      </c>
      <c r="X17">
        <v>-5</v>
      </c>
      <c r="Y17" s="34">
        <f>X17*(1/(INDEX(Currency!$A$1:$E$20,MATCH(U17,Currency!$A$1:$A$20,0),MATCH(V17,Currency!$A$1:$E$1,0))))*(Inflation!$B$23/(VLOOKUP(U17,Inflation!$A$1:$B$23,2,FALSE)))</f>
        <v>-5.5059395248380127</v>
      </c>
      <c r="Z17" s="22" t="s">
        <v>1530</v>
      </c>
      <c r="AA17" s="22" t="s">
        <v>1847</v>
      </c>
      <c r="AB17" s="22"/>
      <c r="AC17" s="103"/>
      <c r="AD17" s="104"/>
      <c r="AF17" s="108"/>
      <c r="AG17" s="82"/>
      <c r="AP17" s="19"/>
      <c r="AQ17" s="15"/>
      <c r="AR17" s="83"/>
      <c r="AS17" s="65"/>
      <c r="AT17" s="65"/>
      <c r="AV17" s="3"/>
      <c r="AW17" s="15"/>
      <c r="AX17" s="83"/>
      <c r="AY17" s="3"/>
      <c r="AZ17" s="3"/>
    </row>
    <row r="18" spans="1:52">
      <c r="A18" s="19">
        <v>355</v>
      </c>
      <c r="B18" s="15">
        <v>0.15</v>
      </c>
      <c r="C18" s="83">
        <v>4.2235488086860364</v>
      </c>
      <c r="D18" s="65" t="s">
        <v>1518</v>
      </c>
      <c r="F18" s="3">
        <v>400</v>
      </c>
      <c r="G18" s="15">
        <v>0.12</v>
      </c>
      <c r="H18" s="83">
        <v>11.686518548306024</v>
      </c>
      <c r="I18" s="3" t="s">
        <v>1522</v>
      </c>
      <c r="K18">
        <v>456</v>
      </c>
      <c r="L18">
        <v>2015</v>
      </c>
      <c r="M18" t="s">
        <v>1528</v>
      </c>
      <c r="N18" s="95">
        <v>0.26500000000000001</v>
      </c>
      <c r="O18">
        <v>6.6</v>
      </c>
      <c r="P18" s="34">
        <f>O18*(1/(INDEX(Currency!$A$1:$E$20,MATCH(L18,Currency!$A$1:$A$20,0),MATCH(M18,Currency!$A$1:$E$1,0))))*(Inflation!$B$23/(VLOOKUP(L18,Inflation!$A$1:$B$23,2,FALSE)))</f>
        <v>9.2753135640000011</v>
      </c>
      <c r="Q18" s="16" t="s">
        <v>1507</v>
      </c>
      <c r="R18" t="s">
        <v>1830</v>
      </c>
      <c r="T18">
        <v>347</v>
      </c>
      <c r="U18">
        <v>2011</v>
      </c>
      <c r="V18" s="22" t="s">
        <v>1502</v>
      </c>
      <c r="W18" s="102">
        <v>3.3000000000000002E-2</v>
      </c>
      <c r="X18">
        <v>-5</v>
      </c>
      <c r="Y18" s="34">
        <f>X18*(1/(INDEX(Currency!$A$1:$E$20,MATCH(U18,Currency!$A$1:$A$20,0),MATCH(V18,Currency!$A$1:$E$1,0))))*(Inflation!$B$23/(VLOOKUP(U18,Inflation!$A$1:$B$23,2,FALSE)))</f>
        <v>-5.3404210746831469</v>
      </c>
      <c r="Z18" s="22" t="s">
        <v>1530</v>
      </c>
      <c r="AA18" s="22" t="s">
        <v>1847</v>
      </c>
      <c r="AB18" s="22"/>
      <c r="AC18" s="103"/>
      <c r="AD18" s="104"/>
      <c r="AF18" s="108"/>
      <c r="AG18" s="82"/>
      <c r="AP18" s="19"/>
      <c r="AQ18" s="15"/>
      <c r="AR18" s="83"/>
      <c r="AS18" s="65"/>
      <c r="AT18" s="65"/>
      <c r="AV18" s="3"/>
      <c r="AW18" s="15"/>
      <c r="AX18" s="83"/>
      <c r="AY18" s="3"/>
      <c r="AZ18" s="3"/>
    </row>
    <row r="19" spans="1:52">
      <c r="A19" s="19">
        <v>355</v>
      </c>
      <c r="B19" s="15">
        <v>0.2</v>
      </c>
      <c r="C19" s="83">
        <v>4.2368755403639291</v>
      </c>
      <c r="D19" s="65" t="s">
        <v>1518</v>
      </c>
      <c r="F19" s="3">
        <v>400</v>
      </c>
      <c r="G19" s="15">
        <v>0.14000000000000001</v>
      </c>
      <c r="H19" s="83">
        <v>12.096571830702727</v>
      </c>
      <c r="I19" s="3" t="s">
        <v>1522</v>
      </c>
      <c r="K19">
        <v>456</v>
      </c>
      <c r="L19">
        <v>2015</v>
      </c>
      <c r="M19" t="s">
        <v>1528</v>
      </c>
      <c r="N19" s="95">
        <v>0.27900000000000003</v>
      </c>
      <c r="O19">
        <v>7.4</v>
      </c>
      <c r="P19" s="34">
        <f>O19*(1/(INDEX(Currency!$A$1:$E$20,MATCH(L19,Currency!$A$1:$A$20,0),MATCH(M19,Currency!$A$1:$E$1,0))))*(Inflation!$B$23/(VLOOKUP(L19,Inflation!$A$1:$B$23,2,FALSE)))</f>
        <v>10.399593996000002</v>
      </c>
      <c r="Q19" s="16" t="s">
        <v>1507</v>
      </c>
      <c r="R19" t="s">
        <v>1830</v>
      </c>
      <c r="T19">
        <v>347</v>
      </c>
      <c r="U19">
        <v>2012</v>
      </c>
      <c r="V19" s="22" t="s">
        <v>1502</v>
      </c>
      <c r="W19" s="102">
        <v>4.4999999999999998E-2</v>
      </c>
      <c r="X19">
        <v>-2</v>
      </c>
      <c r="Y19" s="34">
        <f>X19*(1/(INDEX(Currency!$A$1:$E$20,MATCH(U19,Currency!$A$1:$A$20,0),MATCH(V19,Currency!$A$1:$E$1,0))))*(Inflation!$B$23/(VLOOKUP(U19,Inflation!$A$1:$B$23,2,FALSE)))</f>
        <v>-2.0812327788549854</v>
      </c>
      <c r="Z19" s="22" t="s">
        <v>1530</v>
      </c>
      <c r="AA19" s="22" t="s">
        <v>1847</v>
      </c>
      <c r="AB19" s="22"/>
      <c r="AC19" s="103"/>
      <c r="AD19" s="104"/>
      <c r="AF19" s="108"/>
      <c r="AG19" s="82"/>
      <c r="AP19" s="19"/>
      <c r="AQ19" s="15"/>
      <c r="AR19" s="83"/>
      <c r="AS19" s="65"/>
      <c r="AT19" s="65"/>
      <c r="AV19" s="3"/>
      <c r="AW19" s="15"/>
      <c r="AX19" s="83"/>
      <c r="AY19" s="3"/>
      <c r="AZ19" s="3"/>
    </row>
    <row r="20" spans="1:52">
      <c r="A20" s="19">
        <v>355</v>
      </c>
      <c r="B20" s="15">
        <v>0.25</v>
      </c>
      <c r="C20" s="83">
        <v>4.6633309540564998</v>
      </c>
      <c r="D20" s="65" t="s">
        <v>1518</v>
      </c>
      <c r="F20" s="3">
        <v>400</v>
      </c>
      <c r="G20" s="15">
        <v>0.16</v>
      </c>
      <c r="H20" s="83">
        <v>12.301598471901077</v>
      </c>
      <c r="I20" s="3" t="s">
        <v>1522</v>
      </c>
      <c r="K20">
        <v>456</v>
      </c>
      <c r="L20">
        <v>2015</v>
      </c>
      <c r="M20" t="s">
        <v>1528</v>
      </c>
      <c r="N20" s="95">
        <v>0.35499999999999998</v>
      </c>
      <c r="O20">
        <v>7.7</v>
      </c>
      <c r="P20" s="34">
        <f>O20*(1/(INDEX(Currency!$A$1:$E$20,MATCH(L20,Currency!$A$1:$A$20,0),MATCH(M20,Currency!$A$1:$E$1,0))))*(Inflation!$B$23/(VLOOKUP(L20,Inflation!$A$1:$B$23,2,FALSE)))</f>
        <v>10.821199158000001</v>
      </c>
      <c r="Q20" s="16" t="s">
        <v>1507</v>
      </c>
      <c r="R20" t="s">
        <v>1830</v>
      </c>
      <c r="T20">
        <v>347</v>
      </c>
      <c r="U20">
        <v>2013</v>
      </c>
      <c r="V20" s="22" t="s">
        <v>1502</v>
      </c>
      <c r="W20" s="103">
        <v>0.1</v>
      </c>
      <c r="X20">
        <v>8.4</v>
      </c>
      <c r="Y20" s="34">
        <f>X20*(1/(INDEX(Currency!$A$1:$E$20,MATCH(U20,Currency!$A$1:$A$20,0),MATCH(V20,Currency!$A$1:$E$1,0))))*(Inflation!$B$23/(VLOOKUP(U20,Inflation!$A$1:$B$23,2,FALSE)))</f>
        <v>8.611118930330754</v>
      </c>
      <c r="Z20" s="22" t="s">
        <v>1530</v>
      </c>
      <c r="AA20" s="22" t="s">
        <v>1848</v>
      </c>
      <c r="AB20" s="22"/>
      <c r="AC20" s="103"/>
      <c r="AD20" s="104"/>
      <c r="AF20" s="108"/>
      <c r="AG20" s="82"/>
      <c r="AP20" s="19"/>
      <c r="AQ20" s="15"/>
      <c r="AR20" s="83"/>
      <c r="AS20" s="65"/>
      <c r="AT20" s="65"/>
      <c r="AV20" s="3"/>
      <c r="AW20" s="15"/>
      <c r="AX20" s="83"/>
      <c r="AY20" s="3"/>
      <c r="AZ20" s="3"/>
    </row>
    <row r="21" spans="1:52">
      <c r="A21" s="19">
        <v>355</v>
      </c>
      <c r="B21" s="15">
        <v>0.3</v>
      </c>
      <c r="C21" s="83">
        <v>5.0200773097416311</v>
      </c>
      <c r="D21" s="65" t="s">
        <v>1518</v>
      </c>
      <c r="F21" s="3">
        <v>400</v>
      </c>
      <c r="G21" s="15">
        <v>0.18</v>
      </c>
      <c r="H21" s="83">
        <v>12.506625113099426</v>
      </c>
      <c r="I21" s="3" t="s">
        <v>1522</v>
      </c>
      <c r="K21">
        <v>456</v>
      </c>
      <c r="L21">
        <v>2015</v>
      </c>
      <c r="M21" t="s">
        <v>1528</v>
      </c>
      <c r="N21" s="95">
        <v>0.37</v>
      </c>
      <c r="O21">
        <v>7.6</v>
      </c>
      <c r="P21" s="34">
        <f>O21*(1/(INDEX(Currency!$A$1:$E$20,MATCH(L21,Currency!$A$1:$A$20,0),MATCH(M21,Currency!$A$1:$E$1,0))))*(Inflation!$B$23/(VLOOKUP(L21,Inflation!$A$1:$B$23,2,FALSE)))</f>
        <v>10.680664104000002</v>
      </c>
      <c r="Q21" s="16" t="s">
        <v>1507</v>
      </c>
      <c r="R21" t="s">
        <v>1830</v>
      </c>
      <c r="T21">
        <v>347</v>
      </c>
      <c r="U21">
        <v>2013</v>
      </c>
      <c r="V21" s="22" t="s">
        <v>1502</v>
      </c>
      <c r="W21" s="103">
        <v>0.2</v>
      </c>
      <c r="X21">
        <v>13.9</v>
      </c>
      <c r="Y21" s="34">
        <f>X21*(1/(INDEX(Currency!$A$1:$E$20,MATCH(U21,Currency!$A$1:$A$20,0),MATCH(V21,Currency!$A$1:$E$1,0))))*(Inflation!$B$23/(VLOOKUP(U21,Inflation!$A$1:$B$23,2,FALSE)))</f>
        <v>14.249351563285414</v>
      </c>
      <c r="Z21" s="22" t="s">
        <v>1530</v>
      </c>
      <c r="AA21" s="22" t="s">
        <v>1848</v>
      </c>
      <c r="AB21" s="22"/>
      <c r="AC21" s="103"/>
      <c r="AD21" s="104"/>
      <c r="AF21" s="108"/>
      <c r="AG21" s="82"/>
      <c r="AP21" s="19"/>
      <c r="AQ21" s="15"/>
      <c r="AR21" s="83"/>
      <c r="AS21" s="65"/>
      <c r="AT21" s="65"/>
      <c r="AV21" s="3"/>
      <c r="AW21" s="15"/>
      <c r="AX21" s="83"/>
      <c r="AY21" s="3"/>
      <c r="AZ21" s="3"/>
    </row>
    <row r="22" spans="1:52">
      <c r="A22" s="19">
        <v>355</v>
      </c>
      <c r="B22" s="15">
        <v>0.35</v>
      </c>
      <c r="C22" s="83">
        <v>4.9001367246405962</v>
      </c>
      <c r="D22" s="65" t="s">
        <v>1518</v>
      </c>
      <c r="F22" s="1">
        <v>400</v>
      </c>
      <c r="G22" s="15">
        <v>0.02</v>
      </c>
      <c r="H22" s="83">
        <v>9.2261988539258084</v>
      </c>
      <c r="I22" s="3" t="s">
        <v>1523</v>
      </c>
      <c r="K22">
        <v>456</v>
      </c>
      <c r="L22">
        <v>2015</v>
      </c>
      <c r="M22" t="s">
        <v>1528</v>
      </c>
      <c r="N22" s="95">
        <v>0.41499999999999998</v>
      </c>
      <c r="O22">
        <v>6.5</v>
      </c>
      <c r="P22" s="34">
        <f>O22*(1/(INDEX(Currency!$A$1:$E$20,MATCH(L22,Currency!$A$1:$A$20,0),MATCH(M22,Currency!$A$1:$E$1,0))))*(Inflation!$B$23/(VLOOKUP(L22,Inflation!$A$1:$B$23,2,FALSE)))</f>
        <v>9.1347785100000021</v>
      </c>
      <c r="Q22" s="16" t="s">
        <v>1507</v>
      </c>
      <c r="R22" t="s">
        <v>1830</v>
      </c>
      <c r="T22">
        <v>347</v>
      </c>
      <c r="U22">
        <v>2013</v>
      </c>
      <c r="V22" s="22" t="s">
        <v>1502</v>
      </c>
      <c r="W22" s="103">
        <v>0.3</v>
      </c>
      <c r="X22">
        <v>16.7</v>
      </c>
      <c r="Y22" s="34">
        <f>X22*(1/(INDEX(Currency!$A$1:$E$20,MATCH(U22,Currency!$A$1:$A$20,0),MATCH(V22,Currency!$A$1:$E$1,0))))*(Inflation!$B$23/(VLOOKUP(U22,Inflation!$A$1:$B$23,2,FALSE)))</f>
        <v>17.119724540062332</v>
      </c>
      <c r="Z22" s="22" t="s">
        <v>1530</v>
      </c>
      <c r="AA22" s="22" t="s">
        <v>1848</v>
      </c>
      <c r="AB22" s="22"/>
      <c r="AC22" s="103"/>
      <c r="AD22" s="104"/>
      <c r="AF22" s="108"/>
      <c r="AG22" s="82"/>
      <c r="AP22" s="19"/>
      <c r="AQ22" s="15"/>
      <c r="AR22" s="83"/>
      <c r="AS22" s="65"/>
      <c r="AT22" s="65"/>
      <c r="AV22" s="1"/>
      <c r="AW22" s="15"/>
      <c r="AX22" s="83"/>
      <c r="AY22" s="3"/>
      <c r="AZ22" s="3"/>
    </row>
    <row r="23" spans="1:52">
      <c r="A23" s="19">
        <v>355</v>
      </c>
      <c r="B23" s="15">
        <v>0.4</v>
      </c>
      <c r="C23" s="83">
        <v>5.3891252638986629</v>
      </c>
      <c r="D23" s="65" t="s">
        <v>1518</v>
      </c>
      <c r="F23" s="3">
        <v>400</v>
      </c>
      <c r="G23" s="15">
        <v>0.04</v>
      </c>
      <c r="H23" s="83">
        <v>9.2261988539258084</v>
      </c>
      <c r="I23" s="3" t="s">
        <v>1523</v>
      </c>
      <c r="K23">
        <v>456</v>
      </c>
      <c r="L23">
        <v>2015</v>
      </c>
      <c r="M23" t="s">
        <v>1528</v>
      </c>
      <c r="N23" s="95">
        <v>0.46</v>
      </c>
      <c r="O23">
        <v>7.7</v>
      </c>
      <c r="P23" s="34">
        <f>O23*(1/(INDEX(Currency!$A$1:$E$20,MATCH(L23,Currency!$A$1:$A$20,0),MATCH(M23,Currency!$A$1:$E$1,0))))*(Inflation!$B$23/(VLOOKUP(L23,Inflation!$A$1:$B$23,2,FALSE)))</f>
        <v>10.821199158000001</v>
      </c>
      <c r="Q23" s="16" t="s">
        <v>1507</v>
      </c>
      <c r="R23" t="s">
        <v>1830</v>
      </c>
      <c r="T23">
        <v>347</v>
      </c>
      <c r="U23">
        <v>2013</v>
      </c>
      <c r="V23" s="22" t="s">
        <v>1502</v>
      </c>
      <c r="W23" s="103">
        <v>0.1</v>
      </c>
      <c r="X23" s="22">
        <v>10.199999999999999</v>
      </c>
      <c r="Y23" s="34">
        <f>X23*(1/(INDEX(Currency!$A$1:$E$20,MATCH(U23,Currency!$A$1:$A$20,0),MATCH(V23,Currency!$A$1:$E$1,0))))*(Inflation!$B$23/(VLOOKUP(U23,Inflation!$A$1:$B$23,2,FALSE)))</f>
        <v>10.456358701115914</v>
      </c>
      <c r="Z23" s="22" t="s">
        <v>1530</v>
      </c>
      <c r="AA23" s="22" t="s">
        <v>1850</v>
      </c>
      <c r="AB23" s="22"/>
      <c r="AC23" s="103"/>
      <c r="AD23" s="104"/>
      <c r="AF23" s="108"/>
      <c r="AG23" s="82"/>
      <c r="AP23" s="19"/>
      <c r="AQ23" s="15"/>
      <c r="AR23" s="83"/>
      <c r="AS23" s="65"/>
      <c r="AT23" s="65"/>
      <c r="AV23" s="3"/>
      <c r="AW23" s="15"/>
      <c r="AX23" s="83"/>
      <c r="AY23" s="3"/>
      <c r="AZ23" s="3"/>
    </row>
    <row r="24" spans="1:52">
      <c r="A24" s="3">
        <v>403</v>
      </c>
      <c r="B24" s="15"/>
      <c r="C24" s="83"/>
      <c r="D24" s="3" t="s">
        <v>1529</v>
      </c>
      <c r="F24" s="3">
        <v>400</v>
      </c>
      <c r="G24" s="15">
        <v>0.06</v>
      </c>
      <c r="H24" s="83">
        <v>10.763898662913443</v>
      </c>
      <c r="I24" s="3" t="s">
        <v>1523</v>
      </c>
      <c r="K24">
        <v>456</v>
      </c>
      <c r="L24">
        <v>2015</v>
      </c>
      <c r="M24" t="s">
        <v>1528</v>
      </c>
      <c r="N24" s="95">
        <v>0.46</v>
      </c>
      <c r="O24">
        <v>8.1999999999999993</v>
      </c>
      <c r="P24" s="34">
        <f>O24*(1/(INDEX(Currency!$A$1:$E$20,MATCH(L24,Currency!$A$1:$A$20,0),MATCH(M24,Currency!$A$1:$E$1,0))))*(Inflation!$B$23/(VLOOKUP(L24,Inflation!$A$1:$B$23,2,FALSE)))</f>
        <v>11.523874428000001</v>
      </c>
      <c r="Q24" s="16" t="s">
        <v>1507</v>
      </c>
      <c r="R24" t="s">
        <v>1830</v>
      </c>
      <c r="T24">
        <v>347</v>
      </c>
      <c r="U24">
        <v>2013</v>
      </c>
      <c r="V24" s="22" t="s">
        <v>1502</v>
      </c>
      <c r="W24" s="103">
        <v>0.2</v>
      </c>
      <c r="X24" s="22">
        <v>19.399999999999999</v>
      </c>
      <c r="Y24" s="34">
        <f>X24*(1/(INDEX(Currency!$A$1:$E$20,MATCH(U24,Currency!$A$1:$A$20,0),MATCH(V24,Currency!$A$1:$E$1,0))))*(Inflation!$B$23/(VLOOKUP(U24,Inflation!$A$1:$B$23,2,FALSE)))</f>
        <v>19.887584196240073</v>
      </c>
      <c r="Z24" s="22" t="s">
        <v>1530</v>
      </c>
      <c r="AA24" s="22" t="s">
        <v>1850</v>
      </c>
      <c r="AB24" s="22"/>
      <c r="AC24" s="103"/>
      <c r="AD24" s="104"/>
      <c r="AF24" s="108"/>
      <c r="AG24" s="82"/>
      <c r="AP24" s="3"/>
      <c r="AQ24" s="15"/>
      <c r="AR24" s="83"/>
      <c r="AS24" s="3"/>
      <c r="AT24" s="3"/>
      <c r="AV24" s="3"/>
      <c r="AW24" s="15"/>
      <c r="AX24" s="83"/>
      <c r="AY24" s="3"/>
      <c r="AZ24" s="3"/>
    </row>
    <row r="25" spans="1:52">
      <c r="A25" s="3">
        <v>403</v>
      </c>
      <c r="B25" s="15"/>
      <c r="C25" s="83"/>
      <c r="D25" s="3" t="s">
        <v>1529</v>
      </c>
      <c r="F25" s="3">
        <v>400</v>
      </c>
      <c r="G25" s="15">
        <v>0.08</v>
      </c>
      <c r="H25" s="83">
        <v>11.584005227706848</v>
      </c>
      <c r="I25" s="3" t="s">
        <v>1523</v>
      </c>
      <c r="K25">
        <v>456</v>
      </c>
      <c r="L25">
        <v>2015</v>
      </c>
      <c r="M25" t="s">
        <v>1528</v>
      </c>
      <c r="N25" s="95">
        <v>0.53800000000000003</v>
      </c>
      <c r="O25">
        <v>11.1</v>
      </c>
      <c r="P25" s="34">
        <f>O25*(1/(INDEX(Currency!$A$1:$E$20,MATCH(L25,Currency!$A$1:$A$20,0),MATCH(M25,Currency!$A$1:$E$1,0))))*(Inflation!$B$23/(VLOOKUP(L25,Inflation!$A$1:$B$23,2,FALSE)))</f>
        <v>15.599390994000002</v>
      </c>
      <c r="Q25" s="16" t="s">
        <v>1507</v>
      </c>
      <c r="R25" t="s">
        <v>1830</v>
      </c>
      <c r="T25">
        <v>347</v>
      </c>
      <c r="U25">
        <v>2013</v>
      </c>
      <c r="V25" s="22" t="s">
        <v>1502</v>
      </c>
      <c r="W25" s="103">
        <v>0.3</v>
      </c>
      <c r="X25" s="22">
        <v>24.1</v>
      </c>
      <c r="Y25" s="34">
        <f>X25*(1/(INDEX(Currency!$A$1:$E$20,MATCH(U25,Currency!$A$1:$A$20,0),MATCH(V25,Currency!$A$1:$E$1,0))))*(Inflation!$B$23/(VLOOKUP(U25,Inflation!$A$1:$B$23,2,FALSE)))</f>
        <v>24.705710264401329</v>
      </c>
      <c r="Z25" s="22" t="s">
        <v>1530</v>
      </c>
      <c r="AA25" s="22" t="s">
        <v>1850</v>
      </c>
      <c r="AB25" s="22"/>
      <c r="AC25" s="103"/>
      <c r="AD25" s="104"/>
      <c r="AF25" s="95"/>
      <c r="AG25" s="82"/>
      <c r="AP25" s="3"/>
      <c r="AQ25" s="15"/>
      <c r="AR25" s="83"/>
      <c r="AS25" s="3"/>
      <c r="AT25" s="3"/>
      <c r="AV25" s="3"/>
      <c r="AW25" s="15"/>
      <c r="AX25" s="83"/>
      <c r="AY25" s="3"/>
      <c r="AZ25" s="3"/>
    </row>
    <row r="26" spans="1:52">
      <c r="A26" s="3">
        <v>403</v>
      </c>
      <c r="B26" s="15"/>
      <c r="C26" s="83"/>
      <c r="D26" s="3" t="s">
        <v>1529</v>
      </c>
      <c r="F26" s="3">
        <v>400</v>
      </c>
      <c r="G26" s="15">
        <v>0.1</v>
      </c>
      <c r="H26" s="83">
        <v>12.096571830702727</v>
      </c>
      <c r="I26" s="3" t="s">
        <v>1523</v>
      </c>
      <c r="K26">
        <v>456</v>
      </c>
      <c r="L26">
        <v>2015</v>
      </c>
      <c r="M26" t="s">
        <v>1528</v>
      </c>
      <c r="N26" s="95">
        <v>0.53800000000000003</v>
      </c>
      <c r="O26">
        <v>11.4</v>
      </c>
      <c r="P26" s="34">
        <f>O26*(1/(INDEX(Currency!$A$1:$E$20,MATCH(L26,Currency!$A$1:$A$20,0),MATCH(M26,Currency!$A$1:$E$1,0))))*(Inflation!$B$23/(VLOOKUP(L26,Inflation!$A$1:$B$23,2,FALSE)))</f>
        <v>16.020996156000002</v>
      </c>
      <c r="Q26" s="16" t="s">
        <v>1507</v>
      </c>
      <c r="R26" t="s">
        <v>1830</v>
      </c>
      <c r="T26">
        <v>355</v>
      </c>
      <c r="U26">
        <v>2013</v>
      </c>
      <c r="V26" s="22" t="s">
        <v>1502</v>
      </c>
      <c r="W26" s="103">
        <v>0.05</v>
      </c>
      <c r="X26" s="22">
        <v>15.2</v>
      </c>
      <c r="Y26" s="34">
        <f>X26*(1/(INDEX(Currency!$A$1:$E$20,MATCH(U26,Currency!$A$1:$A$20,0),MATCH(V26,Currency!$A$1:$E$1,0))))*(Inflation!$B$23/(VLOOKUP(U26,Inflation!$A$1:$B$23,2,FALSE)))</f>
        <v>15.582024731074696</v>
      </c>
      <c r="Z26" s="22" t="s">
        <v>1530</v>
      </c>
      <c r="AA26" s="22" t="s">
        <v>1851</v>
      </c>
      <c r="AB26" s="22"/>
      <c r="AC26" s="103"/>
      <c r="AD26" s="104"/>
      <c r="AF26" s="95"/>
      <c r="AG26" s="82"/>
      <c r="AP26" s="3"/>
      <c r="AQ26" s="15"/>
      <c r="AR26" s="83"/>
      <c r="AS26" s="3"/>
      <c r="AT26" s="3"/>
      <c r="AV26" s="3"/>
      <c r="AW26" s="15"/>
      <c r="AX26" s="83"/>
      <c r="AY26" s="3"/>
      <c r="AZ26" s="3"/>
    </row>
    <row r="27" spans="1:52">
      <c r="A27" s="3">
        <v>403</v>
      </c>
      <c r="B27" s="15"/>
      <c r="C27" s="83"/>
      <c r="D27" s="3" t="s">
        <v>1529</v>
      </c>
      <c r="F27" s="3">
        <v>400</v>
      </c>
      <c r="G27" s="15">
        <v>0.12</v>
      </c>
      <c r="H27" s="83">
        <v>12.404111792500252</v>
      </c>
      <c r="I27" s="3" t="s">
        <v>1523</v>
      </c>
      <c r="K27">
        <v>456</v>
      </c>
      <c r="L27">
        <v>2015</v>
      </c>
      <c r="M27" t="s">
        <v>1528</v>
      </c>
      <c r="N27" s="95">
        <v>0.56000000000000005</v>
      </c>
      <c r="O27">
        <v>18.600000000000001</v>
      </c>
      <c r="P27" s="34">
        <f>O27*(1/(INDEX(Currency!$A$1:$E$20,MATCH(L27,Currency!$A$1:$A$20,0),MATCH(M27,Currency!$A$1:$E$1,0))))*(Inflation!$B$23/(VLOOKUP(L27,Inflation!$A$1:$B$23,2,FALSE)))</f>
        <v>26.139520044000005</v>
      </c>
      <c r="Q27" s="16" t="s">
        <v>1507</v>
      </c>
      <c r="R27" t="s">
        <v>1830</v>
      </c>
      <c r="T27">
        <v>355</v>
      </c>
      <c r="U27">
        <v>2013</v>
      </c>
      <c r="V27" s="22" t="s">
        <v>1502</v>
      </c>
      <c r="W27" s="103">
        <v>0.1</v>
      </c>
      <c r="X27" s="22">
        <v>18.7</v>
      </c>
      <c r="Y27" s="34">
        <f>X27*(1/(INDEX(Currency!$A$1:$E$20,MATCH(U27,Currency!$A$1:$A$20,0),MATCH(V27,Currency!$A$1:$E$1,0))))*(Inflation!$B$23/(VLOOKUP(U27,Inflation!$A$1:$B$23,2,FALSE)))</f>
        <v>19.169990952045843</v>
      </c>
      <c r="Z27" s="22" t="s">
        <v>1530</v>
      </c>
      <c r="AA27" s="22" t="s">
        <v>1851</v>
      </c>
      <c r="AB27" s="22"/>
      <c r="AC27" s="103"/>
      <c r="AD27" s="104"/>
      <c r="AF27" s="95"/>
      <c r="AG27" s="82"/>
      <c r="AP27" s="3"/>
      <c r="AQ27" s="15"/>
      <c r="AR27" s="83"/>
      <c r="AS27" s="3"/>
      <c r="AT27" s="3"/>
      <c r="AV27" s="3"/>
      <c r="AW27" s="15"/>
      <c r="AX27" s="83"/>
      <c r="AY27" s="3"/>
      <c r="AZ27" s="3"/>
    </row>
    <row r="28" spans="1:52">
      <c r="A28" s="3">
        <v>403</v>
      </c>
      <c r="B28" s="15"/>
      <c r="C28" s="83"/>
      <c r="D28" s="3" t="s">
        <v>1529</v>
      </c>
      <c r="F28" s="3">
        <v>400</v>
      </c>
      <c r="G28" s="15">
        <v>0.14000000000000001</v>
      </c>
      <c r="H28" s="83">
        <v>12.71165175429778</v>
      </c>
      <c r="I28" s="3" t="s">
        <v>1523</v>
      </c>
      <c r="K28">
        <v>456</v>
      </c>
      <c r="L28">
        <v>2015</v>
      </c>
      <c r="M28" t="s">
        <v>1528</v>
      </c>
      <c r="N28" s="95">
        <v>0.60199999999999998</v>
      </c>
      <c r="O28">
        <v>17.600000000000001</v>
      </c>
      <c r="P28" s="34">
        <f>O28*(1/(INDEX(Currency!$A$1:$E$20,MATCH(L28,Currency!$A$1:$A$20,0),MATCH(M28,Currency!$A$1:$E$1,0))))*(Inflation!$B$23/(VLOOKUP(L28,Inflation!$A$1:$B$23,2,FALSE)))</f>
        <v>24.734169504000004</v>
      </c>
      <c r="Q28" s="16" t="s">
        <v>1507</v>
      </c>
      <c r="R28" t="s">
        <v>1830</v>
      </c>
      <c r="T28">
        <v>355</v>
      </c>
      <c r="U28">
        <v>2013</v>
      </c>
      <c r="V28" s="22" t="s">
        <v>1502</v>
      </c>
      <c r="W28" s="103">
        <v>0.15</v>
      </c>
      <c r="X28" s="22">
        <v>21.8</v>
      </c>
      <c r="Y28" s="34">
        <f>X28*(1/(INDEX(Currency!$A$1:$E$20,MATCH(U28,Currency!$A$1:$A$20,0),MATCH(V28,Currency!$A$1:$E$1,0))))*(Inflation!$B$23/(VLOOKUP(U28,Inflation!$A$1:$B$23,2,FALSE)))</f>
        <v>22.347903890620291</v>
      </c>
      <c r="Z28" s="22" t="s">
        <v>1530</v>
      </c>
      <c r="AA28" s="22" t="s">
        <v>1851</v>
      </c>
      <c r="AB28" s="22"/>
      <c r="AC28" s="103"/>
      <c r="AD28" s="104"/>
      <c r="AF28" s="95"/>
      <c r="AG28" s="82"/>
      <c r="AP28" s="3"/>
      <c r="AQ28" s="15"/>
      <c r="AR28" s="83"/>
      <c r="AS28" s="3"/>
      <c r="AT28" s="3"/>
      <c r="AV28" s="3"/>
      <c r="AW28" s="15"/>
      <c r="AX28" s="83"/>
      <c r="AY28" s="3"/>
      <c r="AZ28" s="3"/>
    </row>
    <row r="29" spans="1:52">
      <c r="A29" s="3">
        <v>403</v>
      </c>
      <c r="B29" s="15"/>
      <c r="C29" s="83"/>
      <c r="D29" s="3" t="s">
        <v>1529</v>
      </c>
      <c r="F29" s="3">
        <v>400</v>
      </c>
      <c r="G29" s="15">
        <v>0.16</v>
      </c>
      <c r="H29" s="83">
        <v>12.814165074896955</v>
      </c>
      <c r="I29" s="3" t="s">
        <v>1523</v>
      </c>
      <c r="K29">
        <v>456</v>
      </c>
      <c r="L29">
        <v>2015</v>
      </c>
      <c r="M29" t="s">
        <v>1528</v>
      </c>
      <c r="N29" s="95">
        <v>0.60199999999999998</v>
      </c>
      <c r="O29">
        <v>22.7</v>
      </c>
      <c r="P29" s="34">
        <f>O29*(1/(INDEX(Currency!$A$1:$E$20,MATCH(L29,Currency!$A$1:$A$20,0),MATCH(M29,Currency!$A$1:$E$1,0))))*(Inflation!$B$23/(VLOOKUP(L29,Inflation!$A$1:$B$23,2,FALSE)))</f>
        <v>31.901457258000004</v>
      </c>
      <c r="Q29" s="16" t="s">
        <v>1507</v>
      </c>
      <c r="R29" t="s">
        <v>1830</v>
      </c>
      <c r="T29">
        <v>355</v>
      </c>
      <c r="U29">
        <v>2013</v>
      </c>
      <c r="V29" s="22" t="s">
        <v>1502</v>
      </c>
      <c r="W29" s="103">
        <v>0.2</v>
      </c>
      <c r="X29" s="22">
        <v>24.7</v>
      </c>
      <c r="Y29" s="34">
        <f>X29*(1/(INDEX(Currency!$A$1:$E$20,MATCH(U29,Currency!$A$1:$A$20,0),MATCH(V29,Currency!$A$1:$E$1,0))))*(Inflation!$B$23/(VLOOKUP(U29,Inflation!$A$1:$B$23,2,FALSE)))</f>
        <v>25.320790187996383</v>
      </c>
      <c r="Z29" s="22" t="s">
        <v>1530</v>
      </c>
      <c r="AA29" s="22" t="s">
        <v>1851</v>
      </c>
      <c r="AB29" s="22"/>
      <c r="AC29" s="103"/>
      <c r="AD29" s="104"/>
      <c r="AF29" s="95"/>
      <c r="AG29" s="82"/>
      <c r="AP29" s="3"/>
      <c r="AQ29" s="15"/>
      <c r="AR29" s="83"/>
      <c r="AS29" s="3"/>
      <c r="AT29" s="3"/>
      <c r="AV29" s="3"/>
      <c r="AW29" s="15"/>
      <c r="AX29" s="83"/>
      <c r="AY29" s="3"/>
      <c r="AZ29" s="3"/>
    </row>
    <row r="30" spans="1:52">
      <c r="A30" s="3">
        <v>403</v>
      </c>
      <c r="B30" s="15"/>
      <c r="C30" s="83"/>
      <c r="D30" s="3" t="s">
        <v>1529</v>
      </c>
      <c r="F30" s="3">
        <v>400</v>
      </c>
      <c r="G30" s="15">
        <v>0.18</v>
      </c>
      <c r="H30" s="83">
        <v>13.019191716095305</v>
      </c>
      <c r="I30" s="3" t="s">
        <v>1523</v>
      </c>
      <c r="K30">
        <v>456</v>
      </c>
      <c r="L30">
        <v>2015</v>
      </c>
      <c r="M30" t="s">
        <v>1528</v>
      </c>
      <c r="N30" s="95">
        <v>0.45200000000000001</v>
      </c>
      <c r="O30">
        <v>5.5</v>
      </c>
      <c r="P30" s="34">
        <f>O30*(1/(INDEX(Currency!$A$1:$E$20,MATCH(L30,Currency!$A$1:$A$20,0),MATCH(M30,Currency!$A$1:$E$1,0))))*(Inflation!$B$23/(VLOOKUP(L30,Inflation!$A$1:$B$23,2,FALSE)))</f>
        <v>7.7294279700000015</v>
      </c>
      <c r="Q30" s="16" t="s">
        <v>1507</v>
      </c>
      <c r="R30" t="s">
        <v>1831</v>
      </c>
      <c r="T30">
        <v>355</v>
      </c>
      <c r="U30">
        <v>2013</v>
      </c>
      <c r="V30" s="22" t="s">
        <v>1502</v>
      </c>
      <c r="W30" s="103">
        <v>0.25</v>
      </c>
      <c r="X30" s="22">
        <v>26.8</v>
      </c>
      <c r="Y30" s="34">
        <f>X30*(1/(INDEX(Currency!$A$1:$E$20,MATCH(U30,Currency!$A$1:$A$20,0),MATCH(V30,Currency!$A$1:$E$1,0))))*(Inflation!$B$23/(VLOOKUP(U30,Inflation!$A$1:$B$23,2,FALSE)))</f>
        <v>27.473569920579074</v>
      </c>
      <c r="Z30" s="22" t="s">
        <v>1530</v>
      </c>
      <c r="AA30" s="22" t="s">
        <v>1851</v>
      </c>
      <c r="AB30" s="22"/>
      <c r="AC30" s="102"/>
      <c r="AD30" s="104"/>
      <c r="AF30" s="95"/>
      <c r="AG30" s="82"/>
      <c r="AP30" s="3"/>
      <c r="AQ30" s="15"/>
      <c r="AR30" s="83"/>
      <c r="AS30" s="3"/>
      <c r="AT30" s="3"/>
      <c r="AV30" s="3"/>
      <c r="AW30" s="15"/>
      <c r="AX30" s="83"/>
      <c r="AY30" s="3"/>
      <c r="AZ30" s="3"/>
    </row>
    <row r="31" spans="1:52">
      <c r="A31" s="3">
        <v>403</v>
      </c>
      <c r="B31" s="15"/>
      <c r="C31" s="83"/>
      <c r="D31" s="3" t="s">
        <v>1529</v>
      </c>
      <c r="F31" s="3">
        <v>400</v>
      </c>
      <c r="G31" s="15">
        <v>0.02</v>
      </c>
      <c r="H31" s="83">
        <v>8.4060922891324008</v>
      </c>
      <c r="I31" s="3" t="s">
        <v>1523</v>
      </c>
      <c r="K31">
        <v>456</v>
      </c>
      <c r="L31">
        <v>2015</v>
      </c>
      <c r="M31" t="s">
        <v>1528</v>
      </c>
      <c r="N31" s="95">
        <v>0.45300000000000001</v>
      </c>
      <c r="O31">
        <v>5.6</v>
      </c>
      <c r="P31" s="34">
        <f>O31*(1/(INDEX(Currency!$A$1:$E$20,MATCH(L31,Currency!$A$1:$A$20,0),MATCH(M31,Currency!$A$1:$E$1,0))))*(Inflation!$B$23/(VLOOKUP(L31,Inflation!$A$1:$B$23,2,FALSE)))</f>
        <v>7.8699630240000005</v>
      </c>
      <c r="Q31" s="16" t="s">
        <v>1507</v>
      </c>
      <c r="R31" t="s">
        <v>1831</v>
      </c>
      <c r="T31">
        <v>355</v>
      </c>
      <c r="U31">
        <v>2013</v>
      </c>
      <c r="V31" s="22" t="s">
        <v>1502</v>
      </c>
      <c r="W31" s="103">
        <v>0.3</v>
      </c>
      <c r="X31" s="22">
        <v>31.7</v>
      </c>
      <c r="Y31" s="34">
        <f>X31*(1/(INDEX(Currency!$A$1:$E$20,MATCH(U31,Currency!$A$1:$A$20,0),MATCH(V31,Currency!$A$1:$E$1,0))))*(Inflation!$B$23/(VLOOKUP(U31,Inflation!$A$1:$B$23,2,FALSE)))</f>
        <v>32.496722629938674</v>
      </c>
      <c r="Z31" s="22" t="s">
        <v>1530</v>
      </c>
      <c r="AA31" s="22" t="s">
        <v>1851</v>
      </c>
      <c r="AB31" s="22"/>
      <c r="AC31" s="103"/>
      <c r="AD31" s="104"/>
      <c r="AF31" s="95"/>
      <c r="AG31" s="82"/>
      <c r="AP31" s="3"/>
      <c r="AQ31" s="15"/>
      <c r="AR31" s="83"/>
      <c r="AS31" s="3"/>
      <c r="AT31" s="3"/>
      <c r="AV31" s="3"/>
      <c r="AW31" s="15"/>
      <c r="AX31" s="83"/>
      <c r="AY31" s="3"/>
      <c r="AZ31" s="3"/>
    </row>
    <row r="32" spans="1:52">
      <c r="A32" s="3">
        <v>403</v>
      </c>
      <c r="B32" s="15"/>
      <c r="C32" s="83"/>
      <c r="D32" s="3" t="s">
        <v>1529</v>
      </c>
      <c r="F32" s="3">
        <v>400</v>
      </c>
      <c r="G32" s="15">
        <v>0.04</v>
      </c>
      <c r="H32" s="83">
        <v>8.4060922891324008</v>
      </c>
      <c r="I32" s="3" t="s">
        <v>1523</v>
      </c>
      <c r="K32">
        <v>456</v>
      </c>
      <c r="L32">
        <v>2015</v>
      </c>
      <c r="M32" t="s">
        <v>1528</v>
      </c>
      <c r="N32" s="95">
        <v>0.52800000000000002</v>
      </c>
      <c r="O32">
        <v>6.7</v>
      </c>
      <c r="P32" s="34">
        <f>O32*(1/(INDEX(Currency!$A$1:$E$20,MATCH(L32,Currency!$A$1:$A$20,0),MATCH(M32,Currency!$A$1:$E$1,0))))*(Inflation!$B$23/(VLOOKUP(L32,Inflation!$A$1:$B$23,2,FALSE)))</f>
        <v>9.4158486180000018</v>
      </c>
      <c r="Q32" s="16" t="s">
        <v>1507</v>
      </c>
      <c r="R32" t="s">
        <v>1831</v>
      </c>
      <c r="T32">
        <v>355</v>
      </c>
      <c r="U32">
        <v>2013</v>
      </c>
      <c r="V32" s="22" t="s">
        <v>1502</v>
      </c>
      <c r="W32" s="103">
        <v>0.35</v>
      </c>
      <c r="X32" s="22">
        <v>36.700000000000003</v>
      </c>
      <c r="Y32" s="34">
        <f>X32*(1/(INDEX(Currency!$A$1:$E$20,MATCH(U32,Currency!$A$1:$A$20,0),MATCH(V32,Currency!$A$1:$E$1,0))))*(Inflation!$B$23/(VLOOKUP(U32,Inflation!$A$1:$B$23,2,FALSE)))</f>
        <v>37.62238865989746</v>
      </c>
      <c r="Z32" s="22" t="s">
        <v>1530</v>
      </c>
      <c r="AA32" s="22" t="s">
        <v>1851</v>
      </c>
      <c r="AB32" s="22"/>
      <c r="AC32" s="103"/>
      <c r="AD32" s="104"/>
      <c r="AF32" s="95"/>
      <c r="AG32" s="82"/>
      <c r="AP32" s="3"/>
      <c r="AQ32" s="15"/>
      <c r="AR32" s="83"/>
      <c r="AS32" s="3"/>
      <c r="AT32" s="3"/>
      <c r="AV32" s="3"/>
      <c r="AW32" s="15"/>
      <c r="AX32" s="83"/>
      <c r="AY32" s="3"/>
      <c r="AZ32" s="3"/>
    </row>
    <row r="33" spans="1:52">
      <c r="A33" s="3">
        <v>403</v>
      </c>
      <c r="B33" s="15"/>
      <c r="C33" s="83"/>
      <c r="D33" s="3" t="s">
        <v>1529</v>
      </c>
      <c r="F33" s="3">
        <v>400</v>
      </c>
      <c r="G33" s="15">
        <v>0.06</v>
      </c>
      <c r="H33" s="83">
        <v>10.046305418719214</v>
      </c>
      <c r="I33" s="3" t="s">
        <v>1523</v>
      </c>
      <c r="K33">
        <v>456</v>
      </c>
      <c r="L33">
        <v>2015</v>
      </c>
      <c r="M33" t="s">
        <v>1528</v>
      </c>
      <c r="N33" s="95">
        <v>0.53</v>
      </c>
      <c r="O33">
        <v>6.7</v>
      </c>
      <c r="P33" s="34">
        <f>O33*(1/(INDEX(Currency!$A$1:$E$20,MATCH(L33,Currency!$A$1:$A$20,0),MATCH(M33,Currency!$A$1:$E$1,0))))*(Inflation!$B$23/(VLOOKUP(L33,Inflation!$A$1:$B$23,2,FALSE)))</f>
        <v>9.4158486180000018</v>
      </c>
      <c r="Q33" s="16" t="s">
        <v>1507</v>
      </c>
      <c r="R33" t="s">
        <v>1831</v>
      </c>
      <c r="T33">
        <v>355</v>
      </c>
      <c r="U33">
        <v>2013</v>
      </c>
      <c r="V33" s="22" t="s">
        <v>1502</v>
      </c>
      <c r="W33" s="103">
        <v>0.4</v>
      </c>
      <c r="X33" s="22">
        <v>44.7</v>
      </c>
      <c r="Y33" s="34">
        <f>X33*(1/(INDEX(Currency!$A$1:$E$20,MATCH(U33,Currency!$A$1:$A$20,0),MATCH(V33,Currency!$A$1:$E$1,0))))*(Inflation!$B$23/(VLOOKUP(U33,Inflation!$A$1:$B$23,2,FALSE)))</f>
        <v>45.823454307831511</v>
      </c>
      <c r="Z33" s="22" t="s">
        <v>1530</v>
      </c>
      <c r="AA33" s="22" t="s">
        <v>1851</v>
      </c>
      <c r="AB33" s="22"/>
      <c r="AC33" s="103"/>
      <c r="AD33" s="104"/>
      <c r="AF33" s="95"/>
      <c r="AG33" s="82"/>
      <c r="AP33" s="3"/>
      <c r="AQ33" s="15"/>
      <c r="AR33" s="83"/>
      <c r="AS33" s="3"/>
      <c r="AT33" s="3"/>
      <c r="AV33" s="3"/>
      <c r="AW33" s="15"/>
      <c r="AX33" s="83"/>
      <c r="AY33" s="3"/>
      <c r="AZ33" s="3"/>
    </row>
    <row r="34" spans="1:52">
      <c r="A34" s="3">
        <v>403</v>
      </c>
      <c r="B34" s="15"/>
      <c r="C34" s="83"/>
      <c r="D34" s="3" t="s">
        <v>1529</v>
      </c>
      <c r="F34" s="3">
        <v>400</v>
      </c>
      <c r="G34" s="15">
        <v>0.08</v>
      </c>
      <c r="H34" s="83">
        <v>10.046305418719214</v>
      </c>
      <c r="I34" s="3" t="s">
        <v>1523</v>
      </c>
      <c r="K34">
        <v>456</v>
      </c>
      <c r="L34">
        <v>2015</v>
      </c>
      <c r="M34" t="s">
        <v>1528</v>
      </c>
      <c r="N34" s="95">
        <v>0.58899999999999997</v>
      </c>
      <c r="O34">
        <v>7.8</v>
      </c>
      <c r="P34" s="34">
        <f>O34*(1/(INDEX(Currency!$A$1:$E$20,MATCH(L34,Currency!$A$1:$A$20,0),MATCH(M34,Currency!$A$1:$E$1,0))))*(Inflation!$B$23/(VLOOKUP(L34,Inflation!$A$1:$B$23,2,FALSE)))</f>
        <v>10.961734212</v>
      </c>
      <c r="Q34" s="16" t="s">
        <v>1507</v>
      </c>
      <c r="R34" t="s">
        <v>1831</v>
      </c>
      <c r="T34">
        <v>355</v>
      </c>
      <c r="U34">
        <v>2013</v>
      </c>
      <c r="V34" s="22" t="s">
        <v>1502</v>
      </c>
      <c r="W34" s="103">
        <v>0.05</v>
      </c>
      <c r="X34" s="22">
        <v>13.5</v>
      </c>
      <c r="Y34" s="34">
        <f>X34*(1/(INDEX(Currency!$A$1:$E$20,MATCH(U34,Currency!$A$1:$A$20,0),MATCH(V34,Currency!$A$1:$E$1,0))))*(Inflation!$B$23/(VLOOKUP(U34,Inflation!$A$1:$B$23,2,FALSE)))</f>
        <v>13.839298280888711</v>
      </c>
      <c r="Z34" s="22" t="s">
        <v>1530</v>
      </c>
      <c r="AA34" s="22" t="s">
        <v>1852</v>
      </c>
      <c r="AB34" s="22"/>
      <c r="AC34" s="103"/>
      <c r="AD34" s="104"/>
      <c r="AF34" s="95"/>
      <c r="AG34" s="82"/>
      <c r="AP34" s="3"/>
      <c r="AQ34" s="15"/>
      <c r="AR34" s="83"/>
      <c r="AS34" s="3"/>
      <c r="AT34" s="3"/>
      <c r="AV34" s="3"/>
      <c r="AW34" s="15"/>
      <c r="AX34" s="83"/>
      <c r="AY34" s="3"/>
      <c r="AZ34" s="3"/>
    </row>
    <row r="35" spans="1:52">
      <c r="A35" s="3">
        <v>403</v>
      </c>
      <c r="B35" s="15"/>
      <c r="C35" s="83"/>
      <c r="D35" s="3" t="s">
        <v>1529</v>
      </c>
      <c r="F35" s="3">
        <v>400</v>
      </c>
      <c r="G35" s="15">
        <v>0.1</v>
      </c>
      <c r="H35" s="83">
        <v>10.046305418719214</v>
      </c>
      <c r="I35" s="3" t="s">
        <v>1523</v>
      </c>
      <c r="K35">
        <v>456</v>
      </c>
      <c r="L35">
        <v>2015</v>
      </c>
      <c r="M35" t="s">
        <v>1528</v>
      </c>
      <c r="N35" s="95">
        <v>0.58899999999999997</v>
      </c>
      <c r="O35">
        <v>7.4</v>
      </c>
      <c r="P35" s="34">
        <f>O35*(1/(INDEX(Currency!$A$1:$E$20,MATCH(L35,Currency!$A$1:$A$20,0),MATCH(M35,Currency!$A$1:$E$1,0))))*(Inflation!$B$23/(VLOOKUP(L35,Inflation!$A$1:$B$23,2,FALSE)))</f>
        <v>10.399593996000002</v>
      </c>
      <c r="Q35" s="16" t="s">
        <v>1507</v>
      </c>
      <c r="R35" t="s">
        <v>1831</v>
      </c>
      <c r="T35">
        <v>355</v>
      </c>
      <c r="U35">
        <v>2013</v>
      </c>
      <c r="V35" s="22" t="s">
        <v>1502</v>
      </c>
      <c r="W35" s="103">
        <v>0.1</v>
      </c>
      <c r="X35" s="22">
        <v>27.4</v>
      </c>
      <c r="Y35" s="34">
        <f>X35*(1/(INDEX(Currency!$A$1:$E$20,MATCH(U35,Currency!$A$1:$A$20,0),MATCH(V35,Currency!$A$1:$E$1,0))))*(Inflation!$B$23/(VLOOKUP(U35,Inflation!$A$1:$B$23,2,FALSE)))</f>
        <v>28.088649844174125</v>
      </c>
      <c r="Z35" s="22" t="s">
        <v>1530</v>
      </c>
      <c r="AA35" s="22" t="s">
        <v>1852</v>
      </c>
      <c r="AB35" s="22"/>
      <c r="AC35" s="102"/>
      <c r="AD35" s="104"/>
      <c r="AF35" s="95"/>
      <c r="AG35" s="82"/>
      <c r="AP35" s="3"/>
      <c r="AQ35" s="15"/>
      <c r="AR35" s="83"/>
      <c r="AS35" s="3"/>
      <c r="AT35" s="3"/>
      <c r="AV35" s="3"/>
      <c r="AW35" s="15"/>
      <c r="AX35" s="83"/>
      <c r="AY35" s="3"/>
      <c r="AZ35" s="3"/>
    </row>
    <row r="36" spans="1:52">
      <c r="A36" s="3">
        <v>403</v>
      </c>
      <c r="B36" s="15"/>
      <c r="C36" s="83"/>
      <c r="D36" s="3" t="s">
        <v>1529</v>
      </c>
      <c r="F36" s="3">
        <v>400</v>
      </c>
      <c r="G36" s="15">
        <v>0.12</v>
      </c>
      <c r="H36" s="83">
        <v>10.046305418719214</v>
      </c>
      <c r="I36" s="3" t="s">
        <v>1523</v>
      </c>
      <c r="K36" t="s">
        <v>1879</v>
      </c>
      <c r="L36">
        <v>2015</v>
      </c>
      <c r="M36" t="s">
        <v>1528</v>
      </c>
      <c r="N36" s="95">
        <v>0.36199999999999999</v>
      </c>
      <c r="O36">
        <v>23</v>
      </c>
      <c r="P36" s="34">
        <f>O36*(1/(INDEX(Currency!$A$1:$E$20,MATCH(L36,Currency!$A$1:$A$20,0),MATCH(M36,Currency!$A$1:$E$1,0))))*(Inflation!$B$23/(VLOOKUP(L36,Inflation!$A$1:$B$23,2,FALSE)))</f>
        <v>32.323062420000007</v>
      </c>
      <c r="Q36" s="16" t="s">
        <v>1507</v>
      </c>
      <c r="R36" t="s">
        <v>1832</v>
      </c>
      <c r="T36">
        <v>355</v>
      </c>
      <c r="U36">
        <v>2013</v>
      </c>
      <c r="V36" s="22" t="s">
        <v>1502</v>
      </c>
      <c r="W36" s="103">
        <v>0.15</v>
      </c>
      <c r="X36" s="22">
        <v>33.4</v>
      </c>
      <c r="Y36" s="34">
        <f>X36*(1/(INDEX(Currency!$A$1:$E$20,MATCH(U36,Currency!$A$1:$A$20,0),MATCH(V36,Currency!$A$1:$E$1,0))))*(Inflation!$B$23/(VLOOKUP(U36,Inflation!$A$1:$B$23,2,FALSE)))</f>
        <v>34.239449080124665</v>
      </c>
      <c r="Z36" s="22" t="s">
        <v>1530</v>
      </c>
      <c r="AA36" s="22" t="s">
        <v>1852</v>
      </c>
      <c r="AB36" s="22"/>
      <c r="AC36" s="103"/>
      <c r="AD36" s="104"/>
      <c r="AF36" s="95"/>
      <c r="AG36" s="82"/>
      <c r="AP36" s="3"/>
      <c r="AQ36" s="15"/>
      <c r="AR36" s="83"/>
      <c r="AS36" s="3"/>
      <c r="AT36" s="3"/>
      <c r="AV36" s="3"/>
      <c r="AW36" s="15"/>
      <c r="AX36" s="83"/>
      <c r="AY36" s="3"/>
      <c r="AZ36" s="3"/>
    </row>
    <row r="37" spans="1:52">
      <c r="A37" s="3">
        <v>403</v>
      </c>
      <c r="B37" s="15"/>
      <c r="C37" s="83"/>
      <c r="D37" s="3" t="s">
        <v>1529</v>
      </c>
      <c r="F37" s="3">
        <v>400</v>
      </c>
      <c r="G37" s="15">
        <v>0.14000000000000001</v>
      </c>
      <c r="H37" s="83">
        <v>10.456358701115914</v>
      </c>
      <c r="I37" s="3" t="s">
        <v>1523</v>
      </c>
      <c r="K37" t="s">
        <v>1879</v>
      </c>
      <c r="L37">
        <v>2015</v>
      </c>
      <c r="M37" t="s">
        <v>1528</v>
      </c>
      <c r="N37" s="95">
        <v>0.36399999999999999</v>
      </c>
      <c r="O37">
        <v>13.5</v>
      </c>
      <c r="P37" s="34">
        <f>O37*(1/(INDEX(Currency!$A$1:$E$20,MATCH(L37,Currency!$A$1:$A$20,0),MATCH(M37,Currency!$A$1:$E$1,0))))*(Inflation!$B$23/(VLOOKUP(L37,Inflation!$A$1:$B$23,2,FALSE)))</f>
        <v>18.972232290000004</v>
      </c>
      <c r="Q37" s="16" t="s">
        <v>1507</v>
      </c>
      <c r="R37" t="s">
        <v>1832</v>
      </c>
      <c r="T37">
        <v>355</v>
      </c>
      <c r="U37">
        <v>2013</v>
      </c>
      <c r="V37" s="22" t="s">
        <v>1502</v>
      </c>
      <c r="W37" s="103">
        <v>0.2</v>
      </c>
      <c r="X37" s="22">
        <v>49.2</v>
      </c>
      <c r="Y37" s="34">
        <f>X37*(1/(INDEX(Currency!$A$1:$E$20,MATCH(U37,Currency!$A$1:$A$20,0),MATCH(V37,Currency!$A$1:$E$1,0))))*(Inflation!$B$23/(VLOOKUP(U37,Inflation!$A$1:$B$23,2,FALSE)))</f>
        <v>50.436553734794416</v>
      </c>
      <c r="Z37" s="22" t="s">
        <v>1530</v>
      </c>
      <c r="AA37" s="22" t="s">
        <v>1852</v>
      </c>
      <c r="AB37" s="22"/>
      <c r="AC37" s="102"/>
      <c r="AD37" s="104"/>
      <c r="AF37" s="95"/>
      <c r="AG37" s="82"/>
      <c r="AP37" s="3"/>
      <c r="AQ37" s="15"/>
      <c r="AR37" s="83"/>
      <c r="AS37" s="3"/>
      <c r="AT37" s="3"/>
      <c r="AV37" s="3"/>
      <c r="AW37" s="15"/>
      <c r="AX37" s="83"/>
      <c r="AY37" s="3"/>
      <c r="AZ37" s="3"/>
    </row>
    <row r="38" spans="1:52">
      <c r="A38" s="3">
        <v>403</v>
      </c>
      <c r="B38" s="15"/>
      <c r="C38" s="83"/>
      <c r="D38" s="3" t="s">
        <v>1529</v>
      </c>
      <c r="F38" s="3">
        <v>400</v>
      </c>
      <c r="G38" s="15">
        <v>0.16</v>
      </c>
      <c r="H38" s="83">
        <v>10.866411983512617</v>
      </c>
      <c r="I38" s="3" t="s">
        <v>1523</v>
      </c>
      <c r="K38" t="s">
        <v>1879</v>
      </c>
      <c r="L38">
        <v>2015</v>
      </c>
      <c r="M38" t="s">
        <v>1528</v>
      </c>
      <c r="N38" s="95">
        <v>0.36399999999999999</v>
      </c>
      <c r="O38">
        <v>6.3</v>
      </c>
      <c r="P38" s="34">
        <f>O38*(1/(INDEX(Currency!$A$1:$E$20,MATCH(L38,Currency!$A$1:$A$20,0),MATCH(M38,Currency!$A$1:$E$1,0))))*(Inflation!$B$23/(VLOOKUP(L38,Inflation!$A$1:$B$23,2,FALSE)))</f>
        <v>8.8537084020000005</v>
      </c>
      <c r="Q38" s="16" t="s">
        <v>1507</v>
      </c>
      <c r="R38" t="s">
        <v>1832</v>
      </c>
      <c r="T38">
        <v>355</v>
      </c>
      <c r="U38">
        <v>2013</v>
      </c>
      <c r="V38" s="22" t="s">
        <v>1502</v>
      </c>
      <c r="W38" s="103">
        <v>0.25</v>
      </c>
      <c r="X38" s="22">
        <v>100</v>
      </c>
      <c r="Y38" s="34">
        <f>X38*(1/(INDEX(Currency!$A$1:$E$20,MATCH(U38,Currency!$A$1:$A$20,0),MATCH(V38,Currency!$A$1:$E$1,0))))*(Inflation!$B$23/(VLOOKUP(U38,Inflation!$A$1:$B$23,2,FALSE)))</f>
        <v>102.51332059917564</v>
      </c>
      <c r="Z38" s="22" t="s">
        <v>1530</v>
      </c>
      <c r="AA38" s="22" t="s">
        <v>1852</v>
      </c>
      <c r="AB38" s="22"/>
      <c r="AC38" s="102"/>
      <c r="AD38" s="104"/>
      <c r="AF38" s="95"/>
      <c r="AG38" s="82"/>
      <c r="AH38" s="82"/>
      <c r="AP38" s="3"/>
      <c r="AQ38" s="15"/>
      <c r="AR38" s="83"/>
      <c r="AS38" s="3"/>
      <c r="AT38" s="3"/>
      <c r="AV38" s="3"/>
      <c r="AW38" s="15"/>
      <c r="AX38" s="83"/>
      <c r="AY38" s="3"/>
      <c r="AZ38" s="3"/>
    </row>
    <row r="39" spans="1:52">
      <c r="A39" s="3">
        <v>403</v>
      </c>
      <c r="B39" s="15"/>
      <c r="C39" s="83"/>
      <c r="D39" s="3" t="s">
        <v>1529</v>
      </c>
      <c r="F39" s="3">
        <v>400</v>
      </c>
      <c r="G39" s="15">
        <v>0.18</v>
      </c>
      <c r="H39" s="83">
        <v>11.07143862471097</v>
      </c>
      <c r="I39" s="3" t="s">
        <v>1523</v>
      </c>
      <c r="K39" t="s">
        <v>1879</v>
      </c>
      <c r="L39">
        <v>2015</v>
      </c>
      <c r="M39" t="s">
        <v>1528</v>
      </c>
      <c r="N39" s="95">
        <v>0.47099999999999997</v>
      </c>
      <c r="O39">
        <v>36.799999999999997</v>
      </c>
      <c r="P39" s="34">
        <f>O39*(1/(INDEX(Currency!$A$1:$E$20,MATCH(L39,Currency!$A$1:$A$20,0),MATCH(M39,Currency!$A$1:$E$1,0))))*(Inflation!$B$23/(VLOOKUP(L39,Inflation!$A$1:$B$23,2,FALSE)))</f>
        <v>51.716899871999999</v>
      </c>
      <c r="Q39" s="16" t="s">
        <v>1507</v>
      </c>
      <c r="R39" t="s">
        <v>1832</v>
      </c>
      <c r="T39">
        <v>457</v>
      </c>
      <c r="U39">
        <v>2015</v>
      </c>
      <c r="V39" s="22" t="s">
        <v>1502</v>
      </c>
      <c r="W39" s="103">
        <v>1E-3</v>
      </c>
      <c r="X39" s="22">
        <v>2.7</v>
      </c>
      <c r="Y39" s="34">
        <f>X39*(1/(INDEX(Currency!$A$1:$E$20,MATCH(U39,Currency!$A$1:$A$20,0),MATCH(V39,Currency!$A$1:$E$1,0))))*(Inflation!$B$23/(VLOOKUP(U39,Inflation!$A$1:$B$23,2,FALSE)))</f>
        <v>2.7531900000000005</v>
      </c>
      <c r="Z39" s="22" t="s">
        <v>1438</v>
      </c>
      <c r="AA39" s="22" t="s">
        <v>1849</v>
      </c>
      <c r="AB39" s="22"/>
      <c r="AC39" s="102"/>
      <c r="AD39" s="104"/>
      <c r="AF39" s="97"/>
      <c r="AG39" s="82"/>
      <c r="AP39" s="3"/>
      <c r="AQ39" s="15"/>
      <c r="AR39" s="83"/>
      <c r="AS39" s="3"/>
      <c r="AT39" s="3"/>
      <c r="AV39" s="3"/>
      <c r="AW39" s="15"/>
      <c r="AX39" s="83"/>
      <c r="AY39" s="3"/>
      <c r="AZ39" s="3"/>
    </row>
    <row r="40" spans="1:52">
      <c r="A40" s="3">
        <v>403</v>
      </c>
      <c r="B40" s="15"/>
      <c r="C40" s="83"/>
      <c r="D40" s="3" t="s">
        <v>1529</v>
      </c>
      <c r="F40" s="1">
        <v>400</v>
      </c>
      <c r="G40" s="15">
        <v>0.02</v>
      </c>
      <c r="H40" s="83">
        <v>10.866411983512617</v>
      </c>
      <c r="I40" s="3" t="s">
        <v>1524</v>
      </c>
      <c r="K40" t="s">
        <v>1879</v>
      </c>
      <c r="L40">
        <v>2015</v>
      </c>
      <c r="M40" t="s">
        <v>1528</v>
      </c>
      <c r="N40" s="95">
        <v>0.48</v>
      </c>
      <c r="O40">
        <v>35.4</v>
      </c>
      <c r="P40" s="34">
        <f>O40*(1/(INDEX(Currency!$A$1:$E$20,MATCH(L40,Currency!$A$1:$A$20,0),MATCH(M40,Currency!$A$1:$E$1,0))))*(Inflation!$B$23/(VLOOKUP(L40,Inflation!$A$1:$B$23,2,FALSE)))</f>
        <v>49.749409116000002</v>
      </c>
      <c r="Q40" s="16" t="s">
        <v>1507</v>
      </c>
      <c r="R40" t="s">
        <v>1832</v>
      </c>
      <c r="T40">
        <v>457</v>
      </c>
      <c r="U40">
        <v>2015</v>
      </c>
      <c r="V40" s="22" t="s">
        <v>1502</v>
      </c>
      <c r="W40" s="103">
        <v>2E-3</v>
      </c>
      <c r="X40" s="22">
        <v>-6.7</v>
      </c>
      <c r="Y40" s="34">
        <f>X40*(1/(INDEX(Currency!$A$1:$E$20,MATCH(U40,Currency!$A$1:$A$20,0),MATCH(V40,Currency!$A$1:$E$1,0))))*(Inflation!$B$23/(VLOOKUP(U40,Inflation!$A$1:$B$23,2,FALSE)))</f>
        <v>-6.8319900000000002</v>
      </c>
      <c r="Z40" s="22" t="s">
        <v>1438</v>
      </c>
      <c r="AA40" s="22" t="s">
        <v>1849</v>
      </c>
      <c r="AB40" s="22"/>
      <c r="AC40" s="103"/>
      <c r="AD40" s="104"/>
      <c r="AF40" s="97"/>
      <c r="AG40" s="82"/>
      <c r="AP40" s="3"/>
      <c r="AQ40" s="15"/>
      <c r="AR40" s="83"/>
      <c r="AS40" s="3"/>
      <c r="AT40" s="3"/>
      <c r="AV40" s="1"/>
      <c r="AW40" s="15"/>
      <c r="AX40" s="83"/>
      <c r="AY40" s="3"/>
      <c r="AZ40" s="3"/>
    </row>
    <row r="41" spans="1:52">
      <c r="A41" s="3">
        <v>403</v>
      </c>
      <c r="B41" s="15"/>
      <c r="C41" s="83"/>
      <c r="D41" s="3" t="s">
        <v>1529</v>
      </c>
      <c r="F41" s="3">
        <v>400</v>
      </c>
      <c r="G41" s="15">
        <v>0.04</v>
      </c>
      <c r="H41" s="83">
        <v>10.866411983512617</v>
      </c>
      <c r="I41" s="3" t="s">
        <v>1524</v>
      </c>
      <c r="K41" t="s">
        <v>1879</v>
      </c>
      <c r="L41">
        <v>2015</v>
      </c>
      <c r="M41" t="s">
        <v>1528</v>
      </c>
      <c r="N41" s="95">
        <v>0.51300000000000001</v>
      </c>
      <c r="O41">
        <v>13.8</v>
      </c>
      <c r="P41" s="34">
        <f>O41*(1/(INDEX(Currency!$A$1:$E$20,MATCH(L41,Currency!$A$1:$A$20,0),MATCH(M41,Currency!$A$1:$E$1,0))))*(Inflation!$B$23/(VLOOKUP(L41,Inflation!$A$1:$B$23,2,FALSE)))</f>
        <v>19.393837452000003</v>
      </c>
      <c r="Q41" s="16" t="s">
        <v>1507</v>
      </c>
      <c r="R41" t="s">
        <v>1832</v>
      </c>
      <c r="T41">
        <v>457</v>
      </c>
      <c r="U41">
        <v>2015</v>
      </c>
      <c r="V41" s="22" t="s">
        <v>1502</v>
      </c>
      <c r="W41" s="103">
        <v>2E-3</v>
      </c>
      <c r="X41" s="22">
        <v>-1.3</v>
      </c>
      <c r="Y41" s="34">
        <f>X41*(1/(INDEX(Currency!$A$1:$E$20,MATCH(U41,Currency!$A$1:$A$20,0),MATCH(V41,Currency!$A$1:$E$1,0))))*(Inflation!$B$23/(VLOOKUP(U41,Inflation!$A$1:$B$23,2,FALSE)))</f>
        <v>-1.3256100000000002</v>
      </c>
      <c r="Z41" s="22" t="s">
        <v>1438</v>
      </c>
      <c r="AA41" s="22" t="s">
        <v>1849</v>
      </c>
      <c r="AB41" s="22"/>
      <c r="AC41" s="103"/>
      <c r="AD41" s="104"/>
      <c r="AF41" s="97"/>
      <c r="AG41" s="82"/>
      <c r="AP41" s="3"/>
      <c r="AQ41" s="15"/>
      <c r="AR41" s="83"/>
      <c r="AS41" s="3"/>
      <c r="AT41" s="3"/>
      <c r="AV41" s="3"/>
      <c r="AW41" s="15"/>
      <c r="AX41" s="83"/>
      <c r="AY41" s="3"/>
      <c r="AZ41" s="3"/>
    </row>
    <row r="42" spans="1:52">
      <c r="A42" s="3">
        <v>413</v>
      </c>
      <c r="B42" s="15">
        <v>0.27100000000000002</v>
      </c>
      <c r="C42" s="83">
        <v>6.4308535070140289</v>
      </c>
      <c r="D42" s="3" t="s">
        <v>1529</v>
      </c>
      <c r="F42" s="3">
        <v>400</v>
      </c>
      <c r="G42" s="15">
        <v>0.06</v>
      </c>
      <c r="H42" s="83">
        <v>10.866411983512617</v>
      </c>
      <c r="I42" s="3" t="s">
        <v>1524</v>
      </c>
      <c r="K42" t="s">
        <v>1879</v>
      </c>
      <c r="L42">
        <v>2015</v>
      </c>
      <c r="M42" t="s">
        <v>1528</v>
      </c>
      <c r="N42" s="95">
        <v>0.51800000000000002</v>
      </c>
      <c r="O42">
        <v>12.7</v>
      </c>
      <c r="P42" s="34">
        <f>O42*(1/(INDEX(Currency!$A$1:$E$20,MATCH(L42,Currency!$A$1:$A$20,0),MATCH(M42,Currency!$A$1:$E$1,0))))*(Inflation!$B$23/(VLOOKUP(L42,Inflation!$A$1:$B$23,2,FALSE)))</f>
        <v>17.847951858000002</v>
      </c>
      <c r="Q42" s="16" t="s">
        <v>1507</v>
      </c>
      <c r="R42" t="s">
        <v>1832</v>
      </c>
      <c r="T42">
        <v>457</v>
      </c>
      <c r="U42">
        <v>2015</v>
      </c>
      <c r="V42" s="22" t="s">
        <v>1502</v>
      </c>
      <c r="W42" s="103">
        <v>8.0000000000000002E-3</v>
      </c>
      <c r="X42" s="22">
        <v>-3.4</v>
      </c>
      <c r="Y42" s="34">
        <f>X42*(1/(INDEX(Currency!$A$1:$E$20,MATCH(U42,Currency!$A$1:$A$20,0),MATCH(V42,Currency!$A$1:$E$1,0))))*(Inflation!$B$23/(VLOOKUP(U42,Inflation!$A$1:$B$23,2,FALSE)))</f>
        <v>-3.46698</v>
      </c>
      <c r="Z42" s="22" t="s">
        <v>1438</v>
      </c>
      <c r="AA42" s="22" t="s">
        <v>1849</v>
      </c>
      <c r="AB42" s="22"/>
      <c r="AC42" s="103"/>
      <c r="AD42" s="104"/>
      <c r="AF42" s="97"/>
      <c r="AG42" s="82"/>
      <c r="AP42" s="3"/>
      <c r="AQ42" s="15"/>
      <c r="AR42" s="83"/>
      <c r="AS42" s="3"/>
      <c r="AT42" s="3"/>
      <c r="AV42" s="3"/>
      <c r="AW42" s="15"/>
      <c r="AX42" s="83"/>
      <c r="AY42" s="3"/>
      <c r="AZ42" s="3"/>
    </row>
    <row r="43" spans="1:52">
      <c r="A43" s="3">
        <v>413</v>
      </c>
      <c r="B43" s="15">
        <v>0.32600000000000001</v>
      </c>
      <c r="C43" s="83">
        <v>7.5741163527054107</v>
      </c>
      <c r="D43" s="3" t="s">
        <v>1529</v>
      </c>
      <c r="F43" s="3">
        <v>400</v>
      </c>
      <c r="G43" s="15">
        <v>0.08</v>
      </c>
      <c r="H43" s="83">
        <v>11.789031868905198</v>
      </c>
      <c r="I43" s="3" t="s">
        <v>1524</v>
      </c>
      <c r="K43" t="s">
        <v>1879</v>
      </c>
      <c r="L43">
        <v>2015</v>
      </c>
      <c r="M43" t="s">
        <v>1528</v>
      </c>
      <c r="N43" s="95">
        <v>0.51400000000000001</v>
      </c>
      <c r="O43">
        <v>6.9</v>
      </c>
      <c r="P43" s="34">
        <f>O43*(1/(INDEX(Currency!$A$1:$E$20,MATCH(L43,Currency!$A$1:$A$20,0),MATCH(M43,Currency!$A$1:$E$1,0))))*(Inflation!$B$23/(VLOOKUP(L43,Inflation!$A$1:$B$23,2,FALSE)))</f>
        <v>9.6969187260000016</v>
      </c>
      <c r="Q43" s="16" t="s">
        <v>1507</v>
      </c>
      <c r="R43" t="s">
        <v>1832</v>
      </c>
      <c r="T43">
        <v>457</v>
      </c>
      <c r="U43">
        <v>2015</v>
      </c>
      <c r="V43" s="22" t="s">
        <v>1502</v>
      </c>
      <c r="W43" s="103">
        <v>8.0000000000000002E-3</v>
      </c>
      <c r="X43" s="22">
        <v>-1.3</v>
      </c>
      <c r="Y43" s="34">
        <f>X43*(1/(INDEX(Currency!$A$1:$E$20,MATCH(U43,Currency!$A$1:$A$20,0),MATCH(V43,Currency!$A$1:$E$1,0))))*(Inflation!$B$23/(VLOOKUP(U43,Inflation!$A$1:$B$23,2,FALSE)))</f>
        <v>-1.3256100000000002</v>
      </c>
      <c r="Z43" s="22" t="s">
        <v>1438</v>
      </c>
      <c r="AA43" s="22" t="s">
        <v>1849</v>
      </c>
      <c r="AB43" s="22"/>
      <c r="AC43" s="103"/>
      <c r="AD43" s="104"/>
      <c r="AF43" s="97"/>
      <c r="AG43" s="82"/>
      <c r="AP43" s="3"/>
      <c r="AQ43" s="15"/>
      <c r="AR43" s="83"/>
      <c r="AS43" s="3"/>
      <c r="AT43" s="3"/>
      <c r="AV43" s="3"/>
      <c r="AW43" s="15"/>
      <c r="AX43" s="83"/>
      <c r="AY43" s="3"/>
      <c r="AZ43" s="3"/>
    </row>
    <row r="44" spans="1:52">
      <c r="A44" s="3">
        <v>413</v>
      </c>
      <c r="B44" s="15">
        <v>0.41699999999999998</v>
      </c>
      <c r="C44" s="83">
        <v>9.2890106212424861</v>
      </c>
      <c r="D44" s="3" t="s">
        <v>1529</v>
      </c>
      <c r="F44" s="3">
        <v>400</v>
      </c>
      <c r="G44" s="15">
        <v>0.1</v>
      </c>
      <c r="H44" s="83">
        <v>12.404111792500252</v>
      </c>
      <c r="I44" s="3" t="s">
        <v>1524</v>
      </c>
      <c r="K44" t="s">
        <v>1879</v>
      </c>
      <c r="L44">
        <v>2015</v>
      </c>
      <c r="M44" t="s">
        <v>1528</v>
      </c>
      <c r="N44" s="95">
        <v>0.51900000000000002</v>
      </c>
      <c r="O44">
        <v>8.1</v>
      </c>
      <c r="P44" s="34">
        <f>O44*(1/(INDEX(Currency!$A$1:$E$20,MATCH(L44,Currency!$A$1:$A$20,0),MATCH(M44,Currency!$A$1:$E$1,0))))*(Inflation!$B$23/(VLOOKUP(L44,Inflation!$A$1:$B$23,2,FALSE)))</f>
        <v>11.383339374</v>
      </c>
      <c r="Q44" s="16" t="s">
        <v>1507</v>
      </c>
      <c r="R44" t="s">
        <v>1832</v>
      </c>
      <c r="T44">
        <v>457</v>
      </c>
      <c r="U44">
        <v>2015</v>
      </c>
      <c r="V44" s="22" t="s">
        <v>1502</v>
      </c>
      <c r="W44" s="103">
        <v>8.9999999999999993E-3</v>
      </c>
      <c r="X44" s="22">
        <v>-9.8000000000000007</v>
      </c>
      <c r="Y44" s="34">
        <f>X44*(1/(INDEX(Currency!$A$1:$E$20,MATCH(U44,Currency!$A$1:$A$20,0),MATCH(V44,Currency!$A$1:$E$1,0))))*(Inflation!$B$23/(VLOOKUP(U44,Inflation!$A$1:$B$23,2,FALSE)))</f>
        <v>-9.9930600000000016</v>
      </c>
      <c r="Z44" s="22" t="s">
        <v>1438</v>
      </c>
      <c r="AA44" s="22" t="s">
        <v>1849</v>
      </c>
      <c r="AB44" s="22"/>
      <c r="AC44" s="103"/>
      <c r="AD44" s="104"/>
      <c r="AF44" s="97"/>
      <c r="AG44" s="82"/>
      <c r="AP44" s="3"/>
      <c r="AQ44" s="15"/>
      <c r="AR44" s="83"/>
      <c r="AS44" s="3"/>
      <c r="AT44" s="3"/>
      <c r="AV44" s="3"/>
      <c r="AW44" s="15"/>
      <c r="AX44" s="83"/>
      <c r="AY44" s="3"/>
      <c r="AZ44" s="3"/>
    </row>
    <row r="45" spans="1:52">
      <c r="A45" s="3">
        <v>433</v>
      </c>
      <c r="B45" s="15">
        <v>0.05</v>
      </c>
      <c r="C45" s="83">
        <v>1.5737845882482637</v>
      </c>
      <c r="D45" s="3" t="s">
        <v>1507</v>
      </c>
      <c r="F45" s="3">
        <v>400</v>
      </c>
      <c r="G45" s="15">
        <v>0.12</v>
      </c>
      <c r="H45" s="83">
        <v>12.71165175429778</v>
      </c>
      <c r="I45" s="3" t="s">
        <v>1524</v>
      </c>
      <c r="K45">
        <v>456</v>
      </c>
      <c r="L45">
        <v>2015</v>
      </c>
      <c r="M45" t="s">
        <v>1528</v>
      </c>
      <c r="N45" s="95">
        <v>0.26600000000000001</v>
      </c>
      <c r="O45">
        <v>10.9</v>
      </c>
      <c r="P45" s="34">
        <f>O45*(1/(INDEX(Currency!$A$1:$E$20,MATCH(L45,Currency!$A$1:$A$20,0),MATCH(M45,Currency!$A$1:$E$1,0))))*(Inflation!$B$23/(VLOOKUP(L45,Inflation!$A$1:$B$23,2,FALSE)))</f>
        <v>15.318320886000002</v>
      </c>
      <c r="Q45" s="16" t="s">
        <v>1507</v>
      </c>
      <c r="R45" t="s">
        <v>1833</v>
      </c>
      <c r="T45">
        <v>457</v>
      </c>
      <c r="U45">
        <v>2015</v>
      </c>
      <c r="V45" s="22" t="s">
        <v>1502</v>
      </c>
      <c r="W45" s="103">
        <v>8.9999999999999993E-3</v>
      </c>
      <c r="X45" s="22">
        <v>7.1</v>
      </c>
      <c r="Y45" s="34">
        <f>X45*(1/(INDEX(Currency!$A$1:$E$20,MATCH(U45,Currency!$A$1:$A$20,0),MATCH(V45,Currency!$A$1:$E$1,0))))*(Inflation!$B$23/(VLOOKUP(U45,Inflation!$A$1:$B$23,2,FALSE)))</f>
        <v>7.2398699999999998</v>
      </c>
      <c r="Z45" s="22" t="s">
        <v>1438</v>
      </c>
      <c r="AA45" s="22" t="s">
        <v>1849</v>
      </c>
      <c r="AB45" s="22"/>
      <c r="AC45" s="103"/>
      <c r="AD45" s="104"/>
      <c r="AF45" s="97"/>
      <c r="AG45" s="82"/>
      <c r="AP45" s="3"/>
      <c r="AQ45" s="15"/>
      <c r="AR45" s="83"/>
      <c r="AS45" s="3"/>
      <c r="AT45" s="3"/>
      <c r="AV45" s="3"/>
      <c r="AW45" s="15"/>
      <c r="AX45" s="83"/>
      <c r="AY45" s="3"/>
      <c r="AZ45" s="3"/>
    </row>
    <row r="46" spans="1:52">
      <c r="A46" s="3">
        <v>433</v>
      </c>
      <c r="B46" s="15">
        <v>0.1</v>
      </c>
      <c r="C46" s="83">
        <v>2.6979164369970237</v>
      </c>
      <c r="D46" s="3" t="s">
        <v>1507</v>
      </c>
      <c r="F46" s="3">
        <v>400</v>
      </c>
      <c r="G46" s="15">
        <v>0.14000000000000001</v>
      </c>
      <c r="H46" s="83">
        <v>13.019191716095305</v>
      </c>
      <c r="I46" s="3" t="s">
        <v>1524</v>
      </c>
      <c r="K46">
        <v>456</v>
      </c>
      <c r="L46">
        <v>2015</v>
      </c>
      <c r="M46" t="s">
        <v>1528</v>
      </c>
      <c r="N46" s="95">
        <v>0.37</v>
      </c>
      <c r="O46">
        <v>22.8</v>
      </c>
      <c r="P46" s="34">
        <f>O46*(1/(INDEX(Currency!$A$1:$E$20,MATCH(L46,Currency!$A$1:$A$20,0),MATCH(M46,Currency!$A$1:$E$1,0))))*(Inflation!$B$23/(VLOOKUP(L46,Inflation!$A$1:$B$23,2,FALSE)))</f>
        <v>32.041992312000005</v>
      </c>
      <c r="Q46" s="16" t="s">
        <v>1507</v>
      </c>
      <c r="R46" t="s">
        <v>1833</v>
      </c>
      <c r="T46">
        <v>457</v>
      </c>
      <c r="U46">
        <v>2015</v>
      </c>
      <c r="V46" s="22" t="s">
        <v>1502</v>
      </c>
      <c r="W46" s="103">
        <v>8.9999999999999993E-3</v>
      </c>
      <c r="X46" s="22">
        <v>9.4</v>
      </c>
      <c r="Y46" s="34">
        <f>X46*(1/(INDEX(Currency!$A$1:$E$20,MATCH(U46,Currency!$A$1:$A$20,0),MATCH(V46,Currency!$A$1:$E$1,0))))*(Inflation!$B$23/(VLOOKUP(U46,Inflation!$A$1:$B$23,2,FALSE)))</f>
        <v>9.5851800000000011</v>
      </c>
      <c r="Z46" s="22" t="s">
        <v>1438</v>
      </c>
      <c r="AA46" s="22" t="s">
        <v>1849</v>
      </c>
      <c r="AB46" s="22"/>
      <c r="AC46" s="103"/>
      <c r="AD46" s="104"/>
      <c r="AF46" s="97"/>
      <c r="AG46" s="82"/>
      <c r="AP46" s="3"/>
      <c r="AQ46" s="15"/>
      <c r="AR46" s="83"/>
      <c r="AS46" s="3"/>
      <c r="AT46" s="3"/>
      <c r="AV46" s="3"/>
      <c r="AW46" s="15"/>
      <c r="AX46" s="83"/>
      <c r="AY46" s="3"/>
      <c r="AZ46" s="3"/>
    </row>
    <row r="47" spans="1:52">
      <c r="A47" s="3">
        <v>433</v>
      </c>
      <c r="B47" s="15">
        <v>0.15</v>
      </c>
      <c r="C47" s="83">
        <v>3.2599823613714038</v>
      </c>
      <c r="D47" s="3" t="s">
        <v>1507</v>
      </c>
      <c r="F47" s="3">
        <v>400</v>
      </c>
      <c r="G47" s="15">
        <v>0.16</v>
      </c>
      <c r="H47" s="83">
        <v>13.224218357293658</v>
      </c>
      <c r="I47" s="3" t="s">
        <v>1524</v>
      </c>
      <c r="K47">
        <v>456</v>
      </c>
      <c r="L47">
        <v>2015</v>
      </c>
      <c r="M47" t="s">
        <v>1528</v>
      </c>
      <c r="N47" s="95">
        <v>0.50600000000000001</v>
      </c>
      <c r="O47">
        <v>40.200000000000003</v>
      </c>
      <c r="P47" s="34">
        <f>O47*(1/(INDEX(Currency!$A$1:$E$20,MATCH(L47,Currency!$A$1:$A$20,0),MATCH(M47,Currency!$A$1:$E$1,0))))*(Inflation!$B$23/(VLOOKUP(L47,Inflation!$A$1:$B$23,2,FALSE)))</f>
        <v>56.495091708000011</v>
      </c>
      <c r="Q47" s="16" t="s">
        <v>1507</v>
      </c>
      <c r="R47" t="s">
        <v>1833</v>
      </c>
      <c r="T47">
        <v>457</v>
      </c>
      <c r="U47">
        <v>2015</v>
      </c>
      <c r="V47" s="22" t="s">
        <v>1502</v>
      </c>
      <c r="W47" s="103">
        <v>0.01</v>
      </c>
      <c r="X47" s="22">
        <v>2.6</v>
      </c>
      <c r="Y47" s="34">
        <f>X47*(1/(INDEX(Currency!$A$1:$E$20,MATCH(U47,Currency!$A$1:$A$20,0),MATCH(V47,Currency!$A$1:$E$1,0))))*(Inflation!$B$23/(VLOOKUP(U47,Inflation!$A$1:$B$23,2,FALSE)))</f>
        <v>2.6512200000000004</v>
      </c>
      <c r="Z47" s="22" t="s">
        <v>1438</v>
      </c>
      <c r="AA47" s="22" t="s">
        <v>1849</v>
      </c>
      <c r="AB47" s="22"/>
      <c r="AC47" s="103"/>
      <c r="AD47" s="104"/>
      <c r="AF47" s="97"/>
      <c r="AG47" s="82"/>
      <c r="AP47" s="3"/>
      <c r="AQ47" s="15"/>
      <c r="AR47" s="83"/>
      <c r="AS47" s="3"/>
      <c r="AT47" s="3"/>
      <c r="AV47" s="3"/>
      <c r="AW47" s="15"/>
      <c r="AX47" s="83"/>
      <c r="AY47" s="3"/>
      <c r="AZ47" s="3"/>
    </row>
    <row r="48" spans="1:52">
      <c r="A48" s="3">
        <v>433</v>
      </c>
      <c r="B48" s="15">
        <v>0.2</v>
      </c>
      <c r="C48" s="83">
        <v>3.8220482857457836</v>
      </c>
      <c r="D48" s="3" t="s">
        <v>1507</v>
      </c>
      <c r="F48" s="3">
        <v>400</v>
      </c>
      <c r="G48" s="15">
        <v>0.18</v>
      </c>
      <c r="H48" s="83">
        <v>13.429244998492008</v>
      </c>
      <c r="I48" s="3" t="s">
        <v>1524</v>
      </c>
      <c r="K48">
        <v>456</v>
      </c>
      <c r="L48">
        <v>2015</v>
      </c>
      <c r="M48" t="s">
        <v>1528</v>
      </c>
      <c r="N48" s="95">
        <v>0.26600000000000001</v>
      </c>
      <c r="O48">
        <v>10.3</v>
      </c>
      <c r="P48" s="34">
        <f>O48*(1/(INDEX(Currency!$A$1:$E$20,MATCH(L48,Currency!$A$1:$A$20,0),MATCH(M48,Currency!$A$1:$E$1,0))))*(Inflation!$B$23/(VLOOKUP(L48,Inflation!$A$1:$B$23,2,FALSE)))</f>
        <v>14.475110562000003</v>
      </c>
      <c r="Q48" s="16" t="s">
        <v>1507</v>
      </c>
      <c r="R48" t="s">
        <v>1834</v>
      </c>
      <c r="T48">
        <v>457</v>
      </c>
      <c r="U48">
        <v>2015</v>
      </c>
      <c r="V48" s="22" t="s">
        <v>1502</v>
      </c>
      <c r="W48" s="103">
        <v>1.9E-2</v>
      </c>
      <c r="X48" s="22">
        <v>-1.3</v>
      </c>
      <c r="Y48" s="34">
        <f>X48*(1/(INDEX(Currency!$A$1:$E$20,MATCH(U48,Currency!$A$1:$A$20,0),MATCH(V48,Currency!$A$1:$E$1,0))))*(Inflation!$B$23/(VLOOKUP(U48,Inflation!$A$1:$B$23,2,FALSE)))</f>
        <v>-1.3256100000000002</v>
      </c>
      <c r="Z48" s="22" t="s">
        <v>1438</v>
      </c>
      <c r="AA48" s="22" t="s">
        <v>1849</v>
      </c>
      <c r="AB48" s="22"/>
      <c r="AC48" s="103"/>
      <c r="AD48" s="104"/>
      <c r="AF48" s="97"/>
      <c r="AG48" s="82"/>
      <c r="AP48" s="3"/>
      <c r="AQ48" s="15"/>
      <c r="AR48" s="83"/>
      <c r="AS48" s="3"/>
      <c r="AT48" s="3"/>
      <c r="AV48" s="3"/>
      <c r="AW48" s="15"/>
      <c r="AX48" s="83"/>
      <c r="AY48" s="3"/>
      <c r="AZ48" s="3"/>
    </row>
    <row r="49" spans="1:52">
      <c r="A49" s="3">
        <v>433</v>
      </c>
      <c r="B49" s="15">
        <v>5.2999999999999999E-2</v>
      </c>
      <c r="C49" s="83">
        <v>3.1475691764965275</v>
      </c>
      <c r="D49" s="3" t="s">
        <v>1516</v>
      </c>
      <c r="F49" s="3">
        <v>400</v>
      </c>
      <c r="G49" s="15">
        <v>0.02</v>
      </c>
      <c r="H49" s="83">
        <v>10.046305418719214</v>
      </c>
      <c r="I49" s="3" t="s">
        <v>1524</v>
      </c>
      <c r="K49">
        <v>456</v>
      </c>
      <c r="L49">
        <v>2015</v>
      </c>
      <c r="M49" t="s">
        <v>1528</v>
      </c>
      <c r="N49" s="95">
        <v>0.37</v>
      </c>
      <c r="O49">
        <v>11.9</v>
      </c>
      <c r="P49" s="34">
        <f>O49*(1/(INDEX(Currency!$A$1:$E$20,MATCH(L49,Currency!$A$1:$A$20,0),MATCH(M49,Currency!$A$1:$E$1,0))))*(Inflation!$B$23/(VLOOKUP(L49,Inflation!$A$1:$B$23,2,FALSE)))</f>
        <v>16.723671426000003</v>
      </c>
      <c r="Q49" s="16" t="s">
        <v>1507</v>
      </c>
      <c r="R49" t="s">
        <v>1834</v>
      </c>
      <c r="T49">
        <v>457</v>
      </c>
      <c r="U49">
        <v>2015</v>
      </c>
      <c r="V49" s="22" t="s">
        <v>1502</v>
      </c>
      <c r="W49" s="103">
        <v>0.05</v>
      </c>
      <c r="X49" s="22">
        <v>-3.4</v>
      </c>
      <c r="Y49" s="34">
        <f>X49*(1/(INDEX(Currency!$A$1:$E$20,MATCH(U49,Currency!$A$1:$A$20,0),MATCH(V49,Currency!$A$1:$E$1,0))))*(Inflation!$B$23/(VLOOKUP(U49,Inflation!$A$1:$B$23,2,FALSE)))</f>
        <v>-3.46698</v>
      </c>
      <c r="Z49" s="22" t="s">
        <v>1438</v>
      </c>
      <c r="AA49" s="22" t="s">
        <v>1849</v>
      </c>
      <c r="AB49" s="22"/>
      <c r="AC49" s="103"/>
      <c r="AD49" s="104"/>
      <c r="AF49" s="97"/>
      <c r="AG49" s="82"/>
      <c r="AP49" s="3"/>
      <c r="AQ49" s="15"/>
      <c r="AR49" s="83"/>
      <c r="AS49" s="3"/>
      <c r="AT49" s="3"/>
      <c r="AV49" s="3"/>
      <c r="AW49" s="15"/>
      <c r="AX49" s="83"/>
      <c r="AY49" s="3"/>
      <c r="AZ49" s="3"/>
    </row>
    <row r="50" spans="1:52">
      <c r="A50" s="3">
        <v>433</v>
      </c>
      <c r="B50" s="15">
        <v>7.5999999999999998E-2</v>
      </c>
      <c r="C50" s="83">
        <v>4.2717010252452878</v>
      </c>
      <c r="D50" s="3" t="s">
        <v>1516</v>
      </c>
      <c r="F50" s="3">
        <v>400</v>
      </c>
      <c r="G50" s="15">
        <v>0.04</v>
      </c>
      <c r="H50" s="83">
        <v>10.046305418719214</v>
      </c>
      <c r="I50" s="3" t="s">
        <v>1524</v>
      </c>
      <c r="K50">
        <v>456</v>
      </c>
      <c r="L50">
        <v>2015</v>
      </c>
      <c r="M50" t="s">
        <v>1528</v>
      </c>
      <c r="N50" s="95">
        <v>0.47</v>
      </c>
      <c r="O50">
        <v>10.199999999999999</v>
      </c>
      <c r="P50" s="34">
        <f>O50*(1/(INDEX(Currency!$A$1:$E$20,MATCH(L50,Currency!$A$1:$A$20,0),MATCH(M50,Currency!$A$1:$E$1,0))))*(Inflation!$B$23/(VLOOKUP(L50,Inflation!$A$1:$B$23,2,FALSE)))</f>
        <v>14.334575508</v>
      </c>
      <c r="Q50" s="16" t="s">
        <v>1507</v>
      </c>
      <c r="R50" t="s">
        <v>1834</v>
      </c>
      <c r="T50">
        <v>457</v>
      </c>
      <c r="U50">
        <v>2015</v>
      </c>
      <c r="V50" s="22" t="s">
        <v>1502</v>
      </c>
      <c r="W50" s="103">
        <v>0.05</v>
      </c>
      <c r="X50" s="22">
        <v>4.4000000000000004</v>
      </c>
      <c r="Y50" s="34">
        <f>X50*(1/(INDEX(Currency!$A$1:$E$20,MATCH(U50,Currency!$A$1:$A$20,0),MATCH(V50,Currency!$A$1:$E$1,0))))*(Inflation!$B$23/(VLOOKUP(U50,Inflation!$A$1:$B$23,2,FALSE)))</f>
        <v>4.4866800000000007</v>
      </c>
      <c r="Z50" s="22" t="s">
        <v>1438</v>
      </c>
      <c r="AA50" s="22" t="s">
        <v>1849</v>
      </c>
      <c r="AB50" s="22"/>
      <c r="AC50" s="103"/>
      <c r="AD50" s="104"/>
      <c r="AF50" s="97"/>
      <c r="AG50" s="82"/>
      <c r="AP50" s="3"/>
      <c r="AQ50" s="15"/>
      <c r="AR50" s="83"/>
      <c r="AS50" s="3"/>
      <c r="AT50" s="3"/>
      <c r="AV50" s="3"/>
      <c r="AW50" s="15"/>
      <c r="AX50" s="83"/>
      <c r="AY50" s="3"/>
      <c r="AZ50" s="3"/>
    </row>
    <row r="51" spans="1:52">
      <c r="A51" s="3">
        <v>433</v>
      </c>
      <c r="B51" s="15">
        <v>0.15</v>
      </c>
      <c r="C51" s="83">
        <v>2.5855032521221477</v>
      </c>
      <c r="D51" s="3" t="s">
        <v>1516</v>
      </c>
      <c r="F51" s="3">
        <v>400</v>
      </c>
      <c r="G51" s="15">
        <v>0.06</v>
      </c>
      <c r="H51" s="83">
        <v>10.046305418719214</v>
      </c>
      <c r="I51" s="3" t="s">
        <v>1524</v>
      </c>
      <c r="K51">
        <v>456</v>
      </c>
      <c r="L51">
        <v>2015</v>
      </c>
      <c r="M51" t="s">
        <v>1528</v>
      </c>
      <c r="N51" s="95">
        <v>0.26600000000000001</v>
      </c>
      <c r="O51">
        <v>6.5</v>
      </c>
      <c r="P51" s="34">
        <f>O51*(1/(INDEX(Currency!$A$1:$E$20,MATCH(L51,Currency!$A$1:$A$20,0),MATCH(M51,Currency!$A$1:$E$1,0))))*(Inflation!$B$23/(VLOOKUP(L51,Inflation!$A$1:$B$23,2,FALSE)))</f>
        <v>9.1347785100000021</v>
      </c>
      <c r="Q51" s="16" t="s">
        <v>1507</v>
      </c>
      <c r="R51" t="s">
        <v>1835</v>
      </c>
      <c r="T51">
        <v>457</v>
      </c>
      <c r="U51">
        <v>2015</v>
      </c>
      <c r="V51" s="22" t="s">
        <v>1502</v>
      </c>
      <c r="W51" s="103">
        <v>0.05</v>
      </c>
      <c r="X51" s="22">
        <v>8.5</v>
      </c>
      <c r="Y51" s="34">
        <f>X51*(1/(INDEX(Currency!$A$1:$E$20,MATCH(U51,Currency!$A$1:$A$20,0),MATCH(V51,Currency!$A$1:$E$1,0))))*(Inflation!$B$23/(VLOOKUP(U51,Inflation!$A$1:$B$23,2,FALSE)))</f>
        <v>8.6674500000000005</v>
      </c>
      <c r="Z51" s="22" t="s">
        <v>1438</v>
      </c>
      <c r="AA51" s="22" t="s">
        <v>1849</v>
      </c>
      <c r="AB51" s="22"/>
      <c r="AC51" s="103"/>
      <c r="AD51" s="104"/>
      <c r="AF51" s="97"/>
      <c r="AG51" s="82"/>
      <c r="AP51" s="3"/>
      <c r="AQ51" s="15"/>
      <c r="AR51" s="83"/>
      <c r="AS51" s="3"/>
      <c r="AT51" s="3"/>
      <c r="AV51" s="3"/>
      <c r="AW51" s="15"/>
      <c r="AX51" s="83"/>
      <c r="AY51" s="3"/>
      <c r="AZ51" s="3"/>
    </row>
    <row r="52" spans="1:52">
      <c r="A52" s="3">
        <v>433</v>
      </c>
      <c r="B52" s="15">
        <v>0.2</v>
      </c>
      <c r="C52" s="83">
        <v>3.4848087311211557</v>
      </c>
      <c r="D52" s="3" t="s">
        <v>1516</v>
      </c>
      <c r="F52" s="3">
        <v>400</v>
      </c>
      <c r="G52" s="15">
        <v>0.08</v>
      </c>
      <c r="H52" s="83">
        <v>11.07143862471097</v>
      </c>
      <c r="I52" s="3" t="s">
        <v>1524</v>
      </c>
      <c r="K52">
        <v>456</v>
      </c>
      <c r="L52">
        <v>2015</v>
      </c>
      <c r="M52" t="s">
        <v>1528</v>
      </c>
      <c r="N52" s="95">
        <v>0.27900000000000003</v>
      </c>
      <c r="O52">
        <v>7.2</v>
      </c>
      <c r="P52" s="34">
        <f>O52*(1/(INDEX(Currency!$A$1:$E$20,MATCH(L52,Currency!$A$1:$A$20,0),MATCH(M52,Currency!$A$1:$E$1,0))))*(Inflation!$B$23/(VLOOKUP(L52,Inflation!$A$1:$B$23,2,FALSE)))</f>
        <v>10.118523888</v>
      </c>
      <c r="Q52" s="16" t="s">
        <v>1507</v>
      </c>
      <c r="R52" t="s">
        <v>1835</v>
      </c>
      <c r="T52">
        <v>457</v>
      </c>
      <c r="U52">
        <v>2015</v>
      </c>
      <c r="V52" s="22" t="s">
        <v>1502</v>
      </c>
      <c r="W52" s="103">
        <v>0.06</v>
      </c>
      <c r="X52" s="22">
        <v>2.1</v>
      </c>
      <c r="Y52" s="34">
        <f>X52*(1/(INDEX(Currency!$A$1:$E$20,MATCH(U52,Currency!$A$1:$A$20,0),MATCH(V52,Currency!$A$1:$E$1,0))))*(Inflation!$B$23/(VLOOKUP(U52,Inflation!$A$1:$B$23,2,FALSE)))</f>
        <v>2.1413700000000002</v>
      </c>
      <c r="Z52" s="22" t="s">
        <v>1438</v>
      </c>
      <c r="AA52" s="22" t="s">
        <v>1849</v>
      </c>
      <c r="AB52" s="22"/>
      <c r="AC52" s="105"/>
      <c r="AD52" s="104"/>
      <c r="AF52" s="97"/>
      <c r="AG52" s="82"/>
      <c r="AP52" s="3"/>
      <c r="AQ52" s="15"/>
      <c r="AR52" s="83"/>
      <c r="AS52" s="3"/>
      <c r="AT52" s="3"/>
      <c r="AV52" s="3"/>
      <c r="AW52" s="15"/>
      <c r="AX52" s="83"/>
      <c r="AY52" s="3"/>
      <c r="AZ52" s="3"/>
    </row>
    <row r="53" spans="1:52">
      <c r="A53" s="3">
        <v>433</v>
      </c>
      <c r="B53" s="15">
        <v>0.25</v>
      </c>
      <c r="C53" s="83">
        <v>3.8220482857457836</v>
      </c>
      <c r="D53" s="3" t="s">
        <v>1516</v>
      </c>
      <c r="F53" s="3">
        <v>400</v>
      </c>
      <c r="G53" s="15">
        <v>0.1</v>
      </c>
      <c r="H53" s="83">
        <v>11.07143862471097</v>
      </c>
      <c r="I53" s="3" t="s">
        <v>1524</v>
      </c>
      <c r="K53">
        <v>456</v>
      </c>
      <c r="L53">
        <v>2015</v>
      </c>
      <c r="M53" t="s">
        <v>1528</v>
      </c>
      <c r="N53" s="95">
        <v>0.35599999999999998</v>
      </c>
      <c r="O53">
        <v>4.8</v>
      </c>
      <c r="P53" s="34">
        <f>O53*(1/(INDEX(Currency!$A$1:$E$20,MATCH(L53,Currency!$A$1:$A$20,0),MATCH(M53,Currency!$A$1:$E$1,0))))*(Inflation!$B$23/(VLOOKUP(L53,Inflation!$A$1:$B$23,2,FALSE)))</f>
        <v>6.7456825920000005</v>
      </c>
      <c r="Q53" s="16" t="s">
        <v>1507</v>
      </c>
      <c r="R53" t="s">
        <v>1835</v>
      </c>
      <c r="T53">
        <v>457</v>
      </c>
      <c r="U53">
        <v>2015</v>
      </c>
      <c r="V53" s="22" t="s">
        <v>1502</v>
      </c>
      <c r="W53" s="103">
        <v>0.06</v>
      </c>
      <c r="X53" s="22">
        <v>3</v>
      </c>
      <c r="Y53" s="34">
        <f>X53*(1/(INDEX(Currency!$A$1:$E$20,MATCH(U53,Currency!$A$1:$A$20,0),MATCH(V53,Currency!$A$1:$E$1,0))))*(Inflation!$B$23/(VLOOKUP(U53,Inflation!$A$1:$B$23,2,FALSE)))</f>
        <v>3.0590999999999999</v>
      </c>
      <c r="Z53" s="22" t="s">
        <v>1438</v>
      </c>
      <c r="AA53" s="22" t="s">
        <v>1849</v>
      </c>
      <c r="AB53" s="22"/>
      <c r="AC53" s="105"/>
      <c r="AD53" s="104"/>
      <c r="AF53" s="97"/>
      <c r="AG53" s="82"/>
      <c r="AP53" s="3"/>
      <c r="AQ53" s="15"/>
      <c r="AR53" s="83"/>
      <c r="AS53" s="3"/>
      <c r="AT53" s="3"/>
      <c r="AV53" s="3"/>
      <c r="AW53" s="15"/>
      <c r="AX53" s="83"/>
      <c r="AY53" s="3"/>
      <c r="AZ53" s="3"/>
    </row>
    <row r="54" spans="1:52">
      <c r="A54" s="3">
        <v>433</v>
      </c>
      <c r="B54" s="15">
        <v>0.02</v>
      </c>
      <c r="C54" s="83">
        <v>0.33723955462462796</v>
      </c>
      <c r="D54" s="3" t="s">
        <v>1516</v>
      </c>
      <c r="F54" s="3">
        <v>400</v>
      </c>
      <c r="G54" s="15">
        <v>0.12</v>
      </c>
      <c r="H54" s="83">
        <v>11.07143862471097</v>
      </c>
      <c r="I54" s="3" t="s">
        <v>1524</v>
      </c>
      <c r="K54">
        <v>456</v>
      </c>
      <c r="L54">
        <v>2015</v>
      </c>
      <c r="M54" t="s">
        <v>1528</v>
      </c>
      <c r="N54" s="95">
        <v>0.37</v>
      </c>
      <c r="O54">
        <v>7.5</v>
      </c>
      <c r="P54" s="34">
        <f>O54*(1/(INDEX(Currency!$A$1:$E$20,MATCH(L54,Currency!$A$1:$A$20,0),MATCH(M54,Currency!$A$1:$E$1,0))))*(Inflation!$B$23/(VLOOKUP(L54,Inflation!$A$1:$B$23,2,FALSE)))</f>
        <v>10.540129050000001</v>
      </c>
      <c r="Q54" s="16" t="s">
        <v>1507</v>
      </c>
      <c r="R54" t="s">
        <v>1835</v>
      </c>
      <c r="T54">
        <v>457</v>
      </c>
      <c r="U54">
        <v>2015</v>
      </c>
      <c r="V54" s="22" t="s">
        <v>1502</v>
      </c>
      <c r="W54" s="103">
        <v>0.06</v>
      </c>
      <c r="X54" s="22">
        <v>9.1999999999999993</v>
      </c>
      <c r="Y54" s="34">
        <f>X54*(1/(INDEX(Currency!$A$1:$E$20,MATCH(U54,Currency!$A$1:$A$20,0),MATCH(V54,Currency!$A$1:$E$1,0))))*(Inflation!$B$23/(VLOOKUP(U54,Inflation!$A$1:$B$23,2,FALSE)))</f>
        <v>9.38124</v>
      </c>
      <c r="Z54" s="22" t="s">
        <v>1438</v>
      </c>
      <c r="AA54" s="22" t="s">
        <v>1849</v>
      </c>
      <c r="AB54" s="22"/>
      <c r="AC54" s="105"/>
      <c r="AD54" s="104"/>
      <c r="AF54" s="97"/>
      <c r="AG54" s="82"/>
      <c r="AP54" s="3"/>
      <c r="AQ54" s="15"/>
      <c r="AR54" s="83"/>
      <c r="AS54" s="3"/>
      <c r="AT54" s="3"/>
      <c r="AV54" s="3"/>
      <c r="AW54" s="15"/>
      <c r="AX54" s="83"/>
      <c r="AY54" s="3"/>
      <c r="AZ54" s="3"/>
    </row>
    <row r="55" spans="1:52">
      <c r="A55" s="3">
        <v>434</v>
      </c>
      <c r="B55" s="15">
        <v>0.15</v>
      </c>
      <c r="C55" s="83">
        <v>4.305559465165377</v>
      </c>
      <c r="D55" s="3" t="s">
        <v>1531</v>
      </c>
      <c r="F55" s="3">
        <v>400</v>
      </c>
      <c r="G55" s="15">
        <v>0.14000000000000001</v>
      </c>
      <c r="H55" s="83">
        <v>11.07143862471097</v>
      </c>
      <c r="I55" s="3" t="s">
        <v>1524</v>
      </c>
      <c r="K55">
        <v>456</v>
      </c>
      <c r="L55">
        <v>2015</v>
      </c>
      <c r="M55" t="s">
        <v>1528</v>
      </c>
      <c r="N55" s="95">
        <v>0.41499999999999998</v>
      </c>
      <c r="O55">
        <v>6.3</v>
      </c>
      <c r="P55" s="34">
        <f>O55*(1/(INDEX(Currency!$A$1:$E$20,MATCH(L55,Currency!$A$1:$A$20,0),MATCH(M55,Currency!$A$1:$E$1,0))))*(Inflation!$B$23/(VLOOKUP(L55,Inflation!$A$1:$B$23,2,FALSE)))</f>
        <v>8.8537084020000005</v>
      </c>
      <c r="Q55" s="16" t="s">
        <v>1507</v>
      </c>
      <c r="R55" t="s">
        <v>1835</v>
      </c>
      <c r="T55">
        <v>457</v>
      </c>
      <c r="U55">
        <v>2015</v>
      </c>
      <c r="V55" s="22" t="s">
        <v>1502</v>
      </c>
      <c r="W55" s="103">
        <v>7.0000000000000007E-2</v>
      </c>
      <c r="X55" s="22">
        <v>7</v>
      </c>
      <c r="Y55" s="34">
        <f>X55*(1/(INDEX(Currency!$A$1:$E$20,MATCH(U55,Currency!$A$1:$A$20,0),MATCH(V55,Currency!$A$1:$E$1,0))))*(Inflation!$B$23/(VLOOKUP(U55,Inflation!$A$1:$B$23,2,FALSE)))</f>
        <v>7.1379000000000001</v>
      </c>
      <c r="Z55" s="22" t="s">
        <v>1438</v>
      </c>
      <c r="AA55" s="22" t="s">
        <v>1849</v>
      </c>
      <c r="AB55" s="22"/>
      <c r="AC55" s="105"/>
      <c r="AD55" s="104"/>
      <c r="AF55" s="97"/>
      <c r="AG55" s="82"/>
      <c r="AP55" s="3"/>
      <c r="AQ55" s="15"/>
      <c r="AR55" s="83"/>
      <c r="AS55" s="3"/>
      <c r="AT55" s="3"/>
      <c r="AV55" s="3"/>
      <c r="AW55" s="15"/>
      <c r="AX55" s="83"/>
      <c r="AY55" s="3"/>
      <c r="AZ55" s="3"/>
    </row>
    <row r="56" spans="1:52">
      <c r="A56" s="3">
        <v>434</v>
      </c>
      <c r="B56" s="15">
        <v>5.2999999999999999E-2</v>
      </c>
      <c r="C56" s="83">
        <v>2.8703729767769177</v>
      </c>
      <c r="D56" s="3" t="s">
        <v>1516</v>
      </c>
      <c r="F56" s="3">
        <v>400</v>
      </c>
      <c r="G56" s="15">
        <v>0.16</v>
      </c>
      <c r="H56" s="83">
        <v>11.07143862471097</v>
      </c>
      <c r="I56" s="3" t="s">
        <v>1524</v>
      </c>
      <c r="K56">
        <v>456</v>
      </c>
      <c r="L56">
        <v>2015</v>
      </c>
      <c r="M56" t="s">
        <v>1528</v>
      </c>
      <c r="N56" s="95">
        <v>0.46</v>
      </c>
      <c r="O56">
        <v>7.2</v>
      </c>
      <c r="P56" s="34">
        <f>O56*(1/(INDEX(Currency!$A$1:$E$20,MATCH(L56,Currency!$A$1:$A$20,0),MATCH(M56,Currency!$A$1:$E$1,0))))*(Inflation!$B$23/(VLOOKUP(L56,Inflation!$A$1:$B$23,2,FALSE)))</f>
        <v>10.118523888</v>
      </c>
      <c r="Q56" s="16" t="s">
        <v>1507</v>
      </c>
      <c r="R56" t="s">
        <v>1835</v>
      </c>
      <c r="T56">
        <v>457</v>
      </c>
      <c r="U56">
        <v>2015</v>
      </c>
      <c r="V56" s="22" t="s">
        <v>1502</v>
      </c>
      <c r="W56" s="103">
        <v>7.2000000000000008E-2</v>
      </c>
      <c r="X56" s="22">
        <v>1.1000000000000001</v>
      </c>
      <c r="Y56" s="34">
        <f>X56*(1/(INDEX(Currency!$A$1:$E$20,MATCH(U56,Currency!$A$1:$A$20,0),MATCH(V56,Currency!$A$1:$E$1,0))))*(Inflation!$B$23/(VLOOKUP(U56,Inflation!$A$1:$B$23,2,FALSE)))</f>
        <v>1.1216700000000002</v>
      </c>
      <c r="Z56" s="22" t="s">
        <v>1438</v>
      </c>
      <c r="AA56" s="22" t="s">
        <v>1849</v>
      </c>
      <c r="AB56" s="22"/>
      <c r="AC56" s="105"/>
      <c r="AD56" s="104"/>
      <c r="AF56" s="97"/>
      <c r="AG56" s="82"/>
      <c r="AP56" s="3"/>
      <c r="AQ56" s="15"/>
      <c r="AR56" s="83"/>
      <c r="AS56" s="3"/>
      <c r="AT56" s="3"/>
      <c r="AV56" s="3"/>
      <c r="AW56" s="15"/>
      <c r="AX56" s="83"/>
      <c r="AY56" s="3"/>
      <c r="AZ56" s="3"/>
    </row>
    <row r="57" spans="1:52">
      <c r="A57" s="3">
        <v>434</v>
      </c>
      <c r="B57" s="15">
        <v>7.4999999999999997E-2</v>
      </c>
      <c r="C57" s="83">
        <v>3.8955061827686741</v>
      </c>
      <c r="D57" s="3" t="s">
        <v>1516</v>
      </c>
      <c r="F57" s="3">
        <v>400</v>
      </c>
      <c r="G57" s="15">
        <v>0.18</v>
      </c>
      <c r="H57" s="83">
        <v>11.378978586508495</v>
      </c>
      <c r="I57" s="3" t="s">
        <v>1524</v>
      </c>
      <c r="K57">
        <v>456</v>
      </c>
      <c r="L57">
        <v>2015</v>
      </c>
      <c r="M57" t="s">
        <v>1528</v>
      </c>
      <c r="N57" s="95">
        <v>0.46</v>
      </c>
      <c r="O57">
        <v>7.5</v>
      </c>
      <c r="P57" s="34">
        <f>O57*(1/(INDEX(Currency!$A$1:$E$20,MATCH(L57,Currency!$A$1:$A$20,0),MATCH(M57,Currency!$A$1:$E$1,0))))*(Inflation!$B$23/(VLOOKUP(L57,Inflation!$A$1:$B$23,2,FALSE)))</f>
        <v>10.540129050000001</v>
      </c>
      <c r="Q57" s="16" t="s">
        <v>1507</v>
      </c>
      <c r="R57" t="s">
        <v>1835</v>
      </c>
      <c r="T57">
        <v>457</v>
      </c>
      <c r="U57">
        <v>2015</v>
      </c>
      <c r="V57" s="22" t="s">
        <v>1502</v>
      </c>
      <c r="W57" s="103">
        <v>0.09</v>
      </c>
      <c r="X57" s="22">
        <v>1.2</v>
      </c>
      <c r="Y57" s="34">
        <f>X57*(1/(INDEX(Currency!$A$1:$E$20,MATCH(U57,Currency!$A$1:$A$20,0),MATCH(V57,Currency!$A$1:$E$1,0))))*(Inflation!$B$23/(VLOOKUP(U57,Inflation!$A$1:$B$23,2,FALSE)))</f>
        <v>1.2236400000000001</v>
      </c>
      <c r="Z57" s="22" t="s">
        <v>1438</v>
      </c>
      <c r="AA57" s="22" t="s">
        <v>1849</v>
      </c>
      <c r="AB57" s="22"/>
      <c r="AC57" s="105"/>
      <c r="AD57" s="104"/>
      <c r="AF57" s="97"/>
      <c r="AG57" s="82"/>
      <c r="AP57" s="3"/>
      <c r="AQ57" s="15"/>
      <c r="AR57" s="83"/>
      <c r="AS57" s="3"/>
      <c r="AT57" s="3"/>
      <c r="AV57" s="3"/>
      <c r="AW57" s="15"/>
      <c r="AX57" s="83"/>
      <c r="AY57" s="3"/>
      <c r="AZ57" s="3"/>
    </row>
    <row r="58" spans="1:52">
      <c r="A58" s="3">
        <v>434</v>
      </c>
      <c r="B58" s="15">
        <v>0.2</v>
      </c>
      <c r="C58" s="83">
        <v>4.5105861063637285</v>
      </c>
      <c r="D58" s="3" t="s">
        <v>1516</v>
      </c>
      <c r="F58" s="1">
        <v>400</v>
      </c>
      <c r="G58" s="15">
        <v>0.02</v>
      </c>
      <c r="H58" s="83">
        <v>14.761918166281292</v>
      </c>
      <c r="I58" s="3" t="s">
        <v>1525</v>
      </c>
      <c r="K58">
        <v>456</v>
      </c>
      <c r="L58">
        <v>2015</v>
      </c>
      <c r="M58" t="s">
        <v>1528</v>
      </c>
      <c r="N58" s="95">
        <v>0.53800000000000003</v>
      </c>
      <c r="O58">
        <v>7.3</v>
      </c>
      <c r="P58" s="34">
        <f>O58*(1/(INDEX(Currency!$A$1:$E$20,MATCH(L58,Currency!$A$1:$A$20,0),MATCH(M58,Currency!$A$1:$E$1,0))))*(Inflation!$B$23/(VLOOKUP(L58,Inflation!$A$1:$B$23,2,FALSE)))</f>
        <v>10.259058942000001</v>
      </c>
      <c r="Q58" s="16" t="s">
        <v>1507</v>
      </c>
      <c r="R58" t="s">
        <v>1835</v>
      </c>
      <c r="T58">
        <v>457</v>
      </c>
      <c r="U58">
        <v>2015</v>
      </c>
      <c r="V58" s="22" t="s">
        <v>1502</v>
      </c>
      <c r="W58" s="103">
        <v>0.1</v>
      </c>
      <c r="X58" s="22">
        <v>7.5</v>
      </c>
      <c r="Y58" s="34">
        <f>X58*(1/(INDEX(Currency!$A$1:$E$20,MATCH(U58,Currency!$A$1:$A$20,0),MATCH(V58,Currency!$A$1:$E$1,0))))*(Inflation!$B$23/(VLOOKUP(U58,Inflation!$A$1:$B$23,2,FALSE)))</f>
        <v>7.6477500000000003</v>
      </c>
      <c r="Z58" s="22" t="s">
        <v>1438</v>
      </c>
      <c r="AA58" s="22" t="s">
        <v>1849</v>
      </c>
      <c r="AB58" s="22"/>
      <c r="AC58" s="105"/>
      <c r="AD58" s="104"/>
      <c r="AF58" s="97"/>
      <c r="AG58" s="82"/>
      <c r="AP58" s="3"/>
      <c r="AQ58" s="15"/>
      <c r="AR58" s="83"/>
      <c r="AS58" s="3"/>
      <c r="AT58" s="3"/>
      <c r="AV58" s="1"/>
      <c r="AW58" s="15"/>
      <c r="AX58" s="83"/>
      <c r="AY58" s="3"/>
      <c r="AZ58" s="3"/>
    </row>
    <row r="59" spans="1:52">
      <c r="A59" s="3">
        <v>434</v>
      </c>
      <c r="B59" s="15">
        <v>0.3</v>
      </c>
      <c r="C59" s="83">
        <v>5.5357193123554849</v>
      </c>
      <c r="D59" s="3" t="s">
        <v>1516</v>
      </c>
      <c r="F59" s="3">
        <v>400</v>
      </c>
      <c r="G59" s="15">
        <v>0.04</v>
      </c>
      <c r="H59" s="83">
        <v>14.761918166281292</v>
      </c>
      <c r="I59" s="3" t="s">
        <v>1525</v>
      </c>
      <c r="K59">
        <v>456</v>
      </c>
      <c r="L59">
        <v>2015</v>
      </c>
      <c r="M59" t="s">
        <v>1528</v>
      </c>
      <c r="N59" s="95">
        <v>0.53800000000000003</v>
      </c>
      <c r="O59">
        <v>8.5</v>
      </c>
      <c r="P59" s="34">
        <f>O59*(1/(INDEX(Currency!$A$1:$E$20,MATCH(L59,Currency!$A$1:$A$20,0),MATCH(M59,Currency!$A$1:$E$1,0))))*(Inflation!$B$23/(VLOOKUP(L59,Inflation!$A$1:$B$23,2,FALSE)))</f>
        <v>11.945479590000001</v>
      </c>
      <c r="Q59" s="16" t="s">
        <v>1507</v>
      </c>
      <c r="R59" t="s">
        <v>1835</v>
      </c>
      <c r="T59">
        <v>457</v>
      </c>
      <c r="U59">
        <v>2015</v>
      </c>
      <c r="V59" s="22" t="s">
        <v>1502</v>
      </c>
      <c r="W59" s="103">
        <v>0.1</v>
      </c>
      <c r="X59" s="22">
        <v>9.1999999999999993</v>
      </c>
      <c r="Y59" s="34">
        <f>X59*(1/(INDEX(Currency!$A$1:$E$20,MATCH(U59,Currency!$A$1:$A$20,0),MATCH(V59,Currency!$A$1:$E$1,0))))*(Inflation!$B$23/(VLOOKUP(U59,Inflation!$A$1:$B$23,2,FALSE)))</f>
        <v>9.38124</v>
      </c>
      <c r="Z59" s="22" t="s">
        <v>1438</v>
      </c>
      <c r="AA59" s="22" t="s">
        <v>1849</v>
      </c>
      <c r="AB59" s="22"/>
      <c r="AC59" s="105"/>
      <c r="AD59" s="104"/>
      <c r="AF59" s="97"/>
      <c r="AG59" s="82"/>
      <c r="AP59" s="3"/>
      <c r="AQ59" s="15"/>
      <c r="AR59" s="83"/>
      <c r="AS59" s="3"/>
      <c r="AT59" s="3"/>
      <c r="AV59" s="3"/>
      <c r="AW59" s="15"/>
      <c r="AX59" s="83"/>
      <c r="AY59" s="3"/>
      <c r="AZ59" s="3"/>
    </row>
    <row r="60" spans="1:52">
      <c r="A60" s="3">
        <v>374</v>
      </c>
      <c r="B60" s="15">
        <v>0.1</v>
      </c>
      <c r="C60" s="83">
        <v>2.186791235265336</v>
      </c>
      <c r="D60" s="3" t="s">
        <v>1532</v>
      </c>
      <c r="F60" s="3">
        <v>400</v>
      </c>
      <c r="G60" s="15">
        <v>0.06</v>
      </c>
      <c r="H60" s="83">
        <v>14.761918166281292</v>
      </c>
      <c r="I60" s="3" t="s">
        <v>1525</v>
      </c>
      <c r="K60">
        <v>456</v>
      </c>
      <c r="L60">
        <v>2015</v>
      </c>
      <c r="M60" t="s">
        <v>1528</v>
      </c>
      <c r="N60" s="95">
        <v>0.56000000000000005</v>
      </c>
      <c r="O60">
        <v>16.2</v>
      </c>
      <c r="P60" s="34">
        <f>O60*(1/(INDEX(Currency!$A$1:$E$20,MATCH(L60,Currency!$A$1:$A$20,0),MATCH(M60,Currency!$A$1:$E$1,0))))*(Inflation!$B$23/(VLOOKUP(L60,Inflation!$A$1:$B$23,2,FALSE)))</f>
        <v>22.766678748</v>
      </c>
      <c r="Q60" s="16" t="s">
        <v>1507</v>
      </c>
      <c r="R60" t="s">
        <v>1835</v>
      </c>
      <c r="T60">
        <v>457</v>
      </c>
      <c r="U60">
        <v>2015</v>
      </c>
      <c r="V60" s="22" t="s">
        <v>1502</v>
      </c>
      <c r="W60" s="103">
        <v>0.1</v>
      </c>
      <c r="X60" s="22">
        <v>11.5</v>
      </c>
      <c r="Y60" s="34">
        <f>X60*(1/(INDEX(Currency!$A$1:$E$20,MATCH(U60,Currency!$A$1:$A$20,0),MATCH(V60,Currency!$A$1:$E$1,0))))*(Inflation!$B$23/(VLOOKUP(U60,Inflation!$A$1:$B$23,2,FALSE)))</f>
        <v>11.726550000000001</v>
      </c>
      <c r="Z60" s="22" t="s">
        <v>1438</v>
      </c>
      <c r="AA60" s="22" t="s">
        <v>1849</v>
      </c>
      <c r="AB60" s="22"/>
      <c r="AC60" s="105"/>
      <c r="AD60" s="104"/>
      <c r="AF60" s="97"/>
      <c r="AG60" s="82"/>
      <c r="AP60" s="3"/>
      <c r="AQ60" s="15"/>
      <c r="AR60" s="83"/>
      <c r="AS60" s="3"/>
      <c r="AT60" s="3"/>
      <c r="AV60" s="3"/>
      <c r="AW60" s="15"/>
      <c r="AX60" s="83"/>
      <c r="AY60" s="3"/>
      <c r="AZ60" s="3"/>
    </row>
    <row r="61" spans="1:52">
      <c r="A61" s="3">
        <v>374</v>
      </c>
      <c r="B61" s="15">
        <v>0.3</v>
      </c>
      <c r="C61" s="83">
        <v>4.2925902025578822</v>
      </c>
      <c r="D61" s="3" t="s">
        <v>1532</v>
      </c>
      <c r="F61" s="3">
        <v>400</v>
      </c>
      <c r="G61" s="15">
        <v>0.08</v>
      </c>
      <c r="H61" s="83">
        <v>14.761918166281292</v>
      </c>
      <c r="I61" s="3" t="s">
        <v>1525</v>
      </c>
      <c r="K61">
        <v>456</v>
      </c>
      <c r="L61">
        <v>2015</v>
      </c>
      <c r="M61" t="s">
        <v>1528</v>
      </c>
      <c r="N61" s="95">
        <v>0.60199999999999998</v>
      </c>
      <c r="O61">
        <v>12.8</v>
      </c>
      <c r="P61" s="34">
        <f>O61*(1/(INDEX(Currency!$A$1:$E$20,MATCH(L61,Currency!$A$1:$A$20,0),MATCH(M61,Currency!$A$1:$E$1,0))))*(Inflation!$B$23/(VLOOKUP(L61,Inflation!$A$1:$B$23,2,FALSE)))</f>
        <v>17.988486912000003</v>
      </c>
      <c r="Q61" s="16" t="s">
        <v>1507</v>
      </c>
      <c r="R61" t="s">
        <v>1835</v>
      </c>
      <c r="T61">
        <v>457</v>
      </c>
      <c r="U61">
        <v>2015</v>
      </c>
      <c r="V61" s="22" t="s">
        <v>1502</v>
      </c>
      <c r="W61" s="103">
        <v>0.12</v>
      </c>
      <c r="X61" s="22">
        <v>11.2</v>
      </c>
      <c r="Y61" s="34">
        <f>X61*(1/(INDEX(Currency!$A$1:$E$20,MATCH(U61,Currency!$A$1:$A$20,0),MATCH(V61,Currency!$A$1:$E$1,0))))*(Inflation!$B$23/(VLOOKUP(U61,Inflation!$A$1:$B$23,2,FALSE)))</f>
        <v>11.420640000000001</v>
      </c>
      <c r="Z61" s="22" t="s">
        <v>1438</v>
      </c>
      <c r="AA61" s="22" t="s">
        <v>1849</v>
      </c>
      <c r="AB61" s="22"/>
      <c r="AC61" s="105"/>
      <c r="AD61" s="104"/>
      <c r="AF61" s="97"/>
      <c r="AG61" s="82"/>
      <c r="AP61" s="3"/>
      <c r="AQ61" s="15"/>
      <c r="AR61" s="83"/>
      <c r="AS61" s="3"/>
      <c r="AT61" s="3"/>
      <c r="AV61" s="3"/>
      <c r="AW61" s="15"/>
      <c r="AX61" s="83"/>
      <c r="AY61" s="3"/>
      <c r="AZ61" s="3"/>
    </row>
    <row r="62" spans="1:52">
      <c r="A62" s="3">
        <v>374</v>
      </c>
      <c r="B62" s="15">
        <v>0.1</v>
      </c>
      <c r="C62" s="83">
        <v>2.186791235265336</v>
      </c>
      <c r="D62" s="3" t="s">
        <v>1532</v>
      </c>
      <c r="F62" s="3">
        <v>400</v>
      </c>
      <c r="G62" s="15">
        <v>0.1</v>
      </c>
      <c r="H62" s="83">
        <v>14.761918166281292</v>
      </c>
      <c r="I62" s="3" t="s">
        <v>1525</v>
      </c>
      <c r="K62">
        <v>456</v>
      </c>
      <c r="L62">
        <v>2015</v>
      </c>
      <c r="M62" t="s">
        <v>1528</v>
      </c>
      <c r="N62" s="95">
        <v>0.60199999999999998</v>
      </c>
      <c r="O62">
        <v>14.1</v>
      </c>
      <c r="P62" s="34">
        <f>O62*(1/(INDEX(Currency!$A$1:$E$20,MATCH(L62,Currency!$A$1:$A$20,0),MATCH(M62,Currency!$A$1:$E$1,0))))*(Inflation!$B$23/(VLOOKUP(L62,Inflation!$A$1:$B$23,2,FALSE)))</f>
        <v>19.815442614000002</v>
      </c>
      <c r="Q62" s="16" t="s">
        <v>1507</v>
      </c>
      <c r="R62" t="s">
        <v>1835</v>
      </c>
      <c r="T62">
        <v>457</v>
      </c>
      <c r="U62">
        <v>2015</v>
      </c>
      <c r="V62" s="22" t="s">
        <v>1502</v>
      </c>
      <c r="W62" s="103">
        <v>0.12</v>
      </c>
      <c r="X62" s="22">
        <v>12.8</v>
      </c>
      <c r="Y62" s="34">
        <f>X62*(1/(INDEX(Currency!$A$1:$E$20,MATCH(U62,Currency!$A$1:$A$20,0),MATCH(V62,Currency!$A$1:$E$1,0))))*(Inflation!$B$23/(VLOOKUP(U62,Inflation!$A$1:$B$23,2,FALSE)))</f>
        <v>13.052160000000001</v>
      </c>
      <c r="Z62" s="22" t="s">
        <v>1438</v>
      </c>
      <c r="AA62" s="22" t="s">
        <v>1849</v>
      </c>
      <c r="AB62" s="22"/>
      <c r="AC62" s="105"/>
      <c r="AD62" s="104"/>
      <c r="AF62" s="97"/>
      <c r="AG62" s="82"/>
      <c r="AP62" s="3"/>
      <c r="AQ62" s="15"/>
      <c r="AR62" s="83"/>
      <c r="AS62" s="3"/>
      <c r="AT62" s="3"/>
      <c r="AV62" s="3"/>
      <c r="AW62" s="15"/>
      <c r="AX62" s="83"/>
      <c r="AY62" s="3"/>
      <c r="AZ62" s="3"/>
    </row>
    <row r="63" spans="1:52">
      <c r="A63" s="3">
        <v>374</v>
      </c>
      <c r="B63" s="15">
        <v>0.3</v>
      </c>
      <c r="C63" s="83">
        <v>4.2925902025578822</v>
      </c>
      <c r="D63" s="3" t="s">
        <v>1532</v>
      </c>
      <c r="F63" s="3">
        <v>400</v>
      </c>
      <c r="G63" s="15">
        <v>0.12</v>
      </c>
      <c r="H63" s="83">
        <v>14.761918166281292</v>
      </c>
      <c r="I63" s="3" t="s">
        <v>1525</v>
      </c>
      <c r="K63">
        <v>456</v>
      </c>
      <c r="L63">
        <v>2015</v>
      </c>
      <c r="M63" t="s">
        <v>1528</v>
      </c>
      <c r="N63" s="95">
        <v>0.45200000000000001</v>
      </c>
      <c r="O63">
        <v>7.2</v>
      </c>
      <c r="P63" s="34">
        <f>O63*(1/(INDEX(Currency!$A$1:$E$20,MATCH(L63,Currency!$A$1:$A$20,0),MATCH(M63,Currency!$A$1:$E$1,0))))*(Inflation!$B$23/(VLOOKUP(L63,Inflation!$A$1:$B$23,2,FALSE)))</f>
        <v>10.118523888</v>
      </c>
      <c r="Q63" s="16" t="s">
        <v>1507</v>
      </c>
      <c r="R63" t="s">
        <v>1836</v>
      </c>
      <c r="T63">
        <v>457</v>
      </c>
      <c r="U63">
        <v>2015</v>
      </c>
      <c r="V63" s="22" t="s">
        <v>1502</v>
      </c>
      <c r="W63" s="103">
        <v>0.12</v>
      </c>
      <c r="X63" s="22">
        <v>17.5</v>
      </c>
      <c r="Y63" s="34">
        <f>X63*(1/(INDEX(Currency!$A$1:$E$20,MATCH(U63,Currency!$A$1:$A$20,0),MATCH(V63,Currency!$A$1:$E$1,0))))*(Inflation!$B$23/(VLOOKUP(U63,Inflation!$A$1:$B$23,2,FALSE)))</f>
        <v>17.844750000000001</v>
      </c>
      <c r="Z63" s="22" t="s">
        <v>1438</v>
      </c>
      <c r="AA63" s="22" t="s">
        <v>1849</v>
      </c>
      <c r="AB63" s="22"/>
      <c r="AC63" s="105"/>
      <c r="AD63" s="104"/>
      <c r="AF63" s="97"/>
      <c r="AG63" s="82"/>
      <c r="AP63" s="3"/>
      <c r="AQ63" s="15"/>
      <c r="AR63" s="83"/>
      <c r="AS63" s="3"/>
      <c r="AT63" s="3"/>
      <c r="AV63" s="3"/>
      <c r="AW63" s="15"/>
      <c r="AX63" s="83"/>
      <c r="AY63" s="3"/>
      <c r="AZ63" s="3"/>
    </row>
    <row r="64" spans="1:52">
      <c r="A64" s="3">
        <v>374</v>
      </c>
      <c r="B64" s="15">
        <v>0.1</v>
      </c>
      <c r="C64" s="83">
        <v>2.186791235265336</v>
      </c>
      <c r="D64" s="3" t="s">
        <v>1532</v>
      </c>
      <c r="F64" s="3">
        <v>400</v>
      </c>
      <c r="G64" s="15">
        <v>0.14000000000000001</v>
      </c>
      <c r="H64" s="83">
        <v>14.761918166281292</v>
      </c>
      <c r="I64" s="3" t="s">
        <v>1525</v>
      </c>
      <c r="K64">
        <v>456</v>
      </c>
      <c r="L64">
        <v>2015</v>
      </c>
      <c r="M64" t="s">
        <v>1528</v>
      </c>
      <c r="N64" s="95">
        <v>0.45300000000000001</v>
      </c>
      <c r="O64">
        <v>7.5</v>
      </c>
      <c r="P64" s="34">
        <f>O64*(1/(INDEX(Currency!$A$1:$E$20,MATCH(L64,Currency!$A$1:$A$20,0),MATCH(M64,Currency!$A$1:$E$1,0))))*(Inflation!$B$23/(VLOOKUP(L64,Inflation!$A$1:$B$23,2,FALSE)))</f>
        <v>10.540129050000001</v>
      </c>
      <c r="Q64" s="16" t="s">
        <v>1507</v>
      </c>
      <c r="R64" t="s">
        <v>1836</v>
      </c>
      <c r="T64">
        <v>457</v>
      </c>
      <c r="U64">
        <v>2015</v>
      </c>
      <c r="V64" s="22" t="s">
        <v>1502</v>
      </c>
      <c r="W64" s="103">
        <v>0.15</v>
      </c>
      <c r="X64" s="22">
        <v>11.6</v>
      </c>
      <c r="Y64" s="34">
        <f>X64*(1/(INDEX(Currency!$A$1:$E$20,MATCH(U64,Currency!$A$1:$A$20,0),MATCH(V64,Currency!$A$1:$E$1,0))))*(Inflation!$B$23/(VLOOKUP(U64,Inflation!$A$1:$B$23,2,FALSE)))</f>
        <v>11.828520000000001</v>
      </c>
      <c r="Z64" s="22" t="s">
        <v>1438</v>
      </c>
      <c r="AA64" s="22" t="s">
        <v>1849</v>
      </c>
      <c r="AB64" s="22"/>
      <c r="AC64" s="105"/>
      <c r="AD64" s="104"/>
      <c r="AF64" s="97"/>
      <c r="AG64" s="82"/>
      <c r="AP64" s="3"/>
      <c r="AQ64" s="15"/>
      <c r="AR64" s="83"/>
      <c r="AS64" s="3"/>
      <c r="AT64" s="3"/>
      <c r="AV64" s="3"/>
      <c r="AW64" s="15"/>
      <c r="AX64" s="83"/>
      <c r="AY64" s="3"/>
      <c r="AZ64" s="3"/>
    </row>
    <row r="65" spans="1:52">
      <c r="A65" s="3">
        <v>374</v>
      </c>
      <c r="B65" s="15">
        <v>0.3</v>
      </c>
      <c r="C65" s="83">
        <v>4.2925902025578822</v>
      </c>
      <c r="D65" s="3" t="s">
        <v>1532</v>
      </c>
      <c r="F65" s="3">
        <v>400</v>
      </c>
      <c r="G65" s="15">
        <v>0.16</v>
      </c>
      <c r="H65" s="83">
        <v>14.761918166281292</v>
      </c>
      <c r="I65" s="3" t="s">
        <v>1525</v>
      </c>
      <c r="K65">
        <v>456</v>
      </c>
      <c r="L65">
        <v>2015</v>
      </c>
      <c r="M65" t="s">
        <v>1528</v>
      </c>
      <c r="N65" s="95">
        <v>0.52700000000000002</v>
      </c>
      <c r="O65">
        <v>1.5</v>
      </c>
      <c r="P65" s="34">
        <f>O65*(1/(INDEX(Currency!$A$1:$E$20,MATCH(L65,Currency!$A$1:$A$20,0),MATCH(M65,Currency!$A$1:$E$1,0))))*(Inflation!$B$23/(VLOOKUP(L65,Inflation!$A$1:$B$23,2,FALSE)))</f>
        <v>2.1080258100000004</v>
      </c>
      <c r="Q65" s="16" t="s">
        <v>1507</v>
      </c>
      <c r="R65" t="s">
        <v>1836</v>
      </c>
      <c r="T65">
        <v>457</v>
      </c>
      <c r="U65">
        <v>2015</v>
      </c>
      <c r="V65" s="22" t="s">
        <v>1502</v>
      </c>
      <c r="W65" s="103">
        <v>0.161</v>
      </c>
      <c r="X65" s="22">
        <v>17.100000000000001</v>
      </c>
      <c r="Y65" s="34">
        <f>X65*(1/(INDEX(Currency!$A$1:$E$20,MATCH(U65,Currency!$A$1:$A$20,0),MATCH(V65,Currency!$A$1:$E$1,0))))*(Inflation!$B$23/(VLOOKUP(U65,Inflation!$A$1:$B$23,2,FALSE)))</f>
        <v>17.436870000000003</v>
      </c>
      <c r="Z65" s="22" t="s">
        <v>1438</v>
      </c>
      <c r="AA65" s="22" t="s">
        <v>1849</v>
      </c>
      <c r="AB65" s="22"/>
      <c r="AC65" s="105"/>
      <c r="AD65" s="104"/>
      <c r="AF65" s="97"/>
      <c r="AG65" s="82"/>
      <c r="AP65" s="3"/>
      <c r="AQ65" s="15"/>
      <c r="AR65" s="83"/>
      <c r="AS65" s="3"/>
      <c r="AT65" s="3"/>
      <c r="AV65" s="3"/>
      <c r="AW65" s="15"/>
      <c r="AX65" s="83"/>
      <c r="AY65" s="3"/>
      <c r="AZ65" s="3"/>
    </row>
    <row r="66" spans="1:52">
      <c r="A66" s="3">
        <v>374</v>
      </c>
      <c r="B66" s="15">
        <v>0.1</v>
      </c>
      <c r="C66" s="83">
        <v>1.5388530914830143</v>
      </c>
      <c r="D66" s="3" t="s">
        <v>1533</v>
      </c>
      <c r="F66" s="3">
        <v>400</v>
      </c>
      <c r="G66" s="15">
        <v>0.18</v>
      </c>
      <c r="H66" s="83">
        <v>14.761918166281292</v>
      </c>
      <c r="I66" s="3" t="s">
        <v>1525</v>
      </c>
      <c r="K66">
        <v>456</v>
      </c>
      <c r="L66">
        <v>2015</v>
      </c>
      <c r="M66" t="s">
        <v>1528</v>
      </c>
      <c r="N66" s="95">
        <v>0.53</v>
      </c>
      <c r="O66">
        <v>6.6</v>
      </c>
      <c r="P66" s="34">
        <f>O66*(1/(INDEX(Currency!$A$1:$E$20,MATCH(L66,Currency!$A$1:$A$20,0),MATCH(M66,Currency!$A$1:$E$1,0))))*(Inflation!$B$23/(VLOOKUP(L66,Inflation!$A$1:$B$23,2,FALSE)))</f>
        <v>9.2753135640000011</v>
      </c>
      <c r="Q66" s="16" t="s">
        <v>1507</v>
      </c>
      <c r="R66" t="s">
        <v>1836</v>
      </c>
      <c r="T66">
        <v>457</v>
      </c>
      <c r="U66">
        <v>2015</v>
      </c>
      <c r="V66" s="22" t="s">
        <v>1502</v>
      </c>
      <c r="W66" s="103">
        <v>0.19</v>
      </c>
      <c r="X66" s="22">
        <v>4.5999999999999996</v>
      </c>
      <c r="Y66" s="34">
        <f>X66*(1/(INDEX(Currency!$A$1:$E$20,MATCH(U66,Currency!$A$1:$A$20,0),MATCH(V66,Currency!$A$1:$E$1,0))))*(Inflation!$B$23/(VLOOKUP(U66,Inflation!$A$1:$B$23,2,FALSE)))</f>
        <v>4.69062</v>
      </c>
      <c r="Z66" s="22" t="s">
        <v>1438</v>
      </c>
      <c r="AA66" s="22" t="s">
        <v>1849</v>
      </c>
      <c r="AB66" s="22"/>
      <c r="AC66" s="105"/>
      <c r="AD66" s="104"/>
      <c r="AF66" s="97"/>
      <c r="AG66" s="82"/>
      <c r="AP66" s="3"/>
      <c r="AQ66" s="15"/>
      <c r="AR66" s="83"/>
      <c r="AS66" s="3"/>
      <c r="AT66" s="3"/>
      <c r="AV66" s="3"/>
      <c r="AW66" s="15"/>
      <c r="AX66" s="83"/>
      <c r="AY66" s="3"/>
      <c r="AZ66" s="3"/>
    </row>
    <row r="67" spans="1:52">
      <c r="A67" s="3">
        <v>374</v>
      </c>
      <c r="B67" s="15">
        <v>0.3</v>
      </c>
      <c r="C67" s="83">
        <v>4.0577126254367899</v>
      </c>
      <c r="D67" s="3" t="s">
        <v>1533</v>
      </c>
      <c r="F67" s="3">
        <v>400</v>
      </c>
      <c r="G67" s="15">
        <v>0.02</v>
      </c>
      <c r="H67" s="83">
        <v>9.021172212727457</v>
      </c>
      <c r="I67" s="3" t="s">
        <v>1525</v>
      </c>
      <c r="K67">
        <v>456</v>
      </c>
      <c r="L67">
        <v>2015</v>
      </c>
      <c r="M67" t="s">
        <v>1528</v>
      </c>
      <c r="N67" s="95">
        <v>0.58899999999999997</v>
      </c>
      <c r="O67">
        <v>8</v>
      </c>
      <c r="P67" s="34">
        <f>O67*(1/(INDEX(Currency!$A$1:$E$20,MATCH(L67,Currency!$A$1:$A$20,0),MATCH(M67,Currency!$A$1:$E$1,0))))*(Inflation!$B$23/(VLOOKUP(L67,Inflation!$A$1:$B$23,2,FALSE)))</f>
        <v>11.242804320000001</v>
      </c>
      <c r="Q67" s="16" t="s">
        <v>1507</v>
      </c>
      <c r="R67" t="s">
        <v>1836</v>
      </c>
      <c r="T67">
        <v>457</v>
      </c>
      <c r="U67">
        <v>2015</v>
      </c>
      <c r="V67" s="22" t="s">
        <v>1502</v>
      </c>
      <c r="W67" s="103">
        <v>0.2</v>
      </c>
      <c r="X67" s="22">
        <v>4.5999999999999996</v>
      </c>
      <c r="Y67" s="34">
        <f>X67*(1/(INDEX(Currency!$A$1:$E$20,MATCH(U67,Currency!$A$1:$A$20,0),MATCH(V67,Currency!$A$1:$E$1,0))))*(Inflation!$B$23/(VLOOKUP(U67,Inflation!$A$1:$B$23,2,FALSE)))</f>
        <v>4.69062</v>
      </c>
      <c r="Z67" s="22" t="s">
        <v>1438</v>
      </c>
      <c r="AA67" s="22" t="s">
        <v>1849</v>
      </c>
      <c r="AB67" s="22"/>
      <c r="AC67" s="105"/>
      <c r="AD67" s="104"/>
      <c r="AF67" s="97"/>
      <c r="AG67" s="82"/>
      <c r="AP67" s="3"/>
      <c r="AQ67" s="15"/>
      <c r="AR67" s="83"/>
      <c r="AS67" s="3"/>
      <c r="AT67" s="3"/>
      <c r="AV67" s="3"/>
      <c r="AW67" s="15"/>
      <c r="AX67" s="83"/>
      <c r="AY67" s="3"/>
      <c r="AZ67" s="3"/>
    </row>
    <row r="68" spans="1:52">
      <c r="A68" s="3">
        <v>374</v>
      </c>
      <c r="B68" s="15">
        <v>0.1</v>
      </c>
      <c r="C68" s="83">
        <v>1.5388530914830143</v>
      </c>
      <c r="D68" s="3" t="s">
        <v>1533</v>
      </c>
      <c r="F68" s="3">
        <v>400</v>
      </c>
      <c r="G68" s="15">
        <v>0.04</v>
      </c>
      <c r="H68" s="83">
        <v>9.021172212727457</v>
      </c>
      <c r="I68" s="3" t="s">
        <v>1525</v>
      </c>
      <c r="K68">
        <v>456</v>
      </c>
      <c r="L68">
        <v>2015</v>
      </c>
      <c r="M68" t="s">
        <v>1528</v>
      </c>
      <c r="N68" s="95">
        <v>0.58899999999999997</v>
      </c>
      <c r="O68">
        <v>8.5</v>
      </c>
      <c r="P68" s="34">
        <f>O68*(1/(INDEX(Currency!$A$1:$E$20,MATCH(L68,Currency!$A$1:$A$20,0),MATCH(M68,Currency!$A$1:$E$1,0))))*(Inflation!$B$23/(VLOOKUP(L68,Inflation!$A$1:$B$23,2,FALSE)))</f>
        <v>11.945479590000001</v>
      </c>
      <c r="Q68" s="16" t="s">
        <v>1507</v>
      </c>
      <c r="R68" t="s">
        <v>1836</v>
      </c>
      <c r="T68">
        <v>457</v>
      </c>
      <c r="U68">
        <v>2015</v>
      </c>
      <c r="V68" s="22" t="s">
        <v>1502</v>
      </c>
      <c r="W68" s="103">
        <v>0.2</v>
      </c>
      <c r="X68" s="22">
        <v>12.7</v>
      </c>
      <c r="Y68" s="34">
        <f>X68*(1/(INDEX(Currency!$A$1:$E$20,MATCH(U68,Currency!$A$1:$A$20,0),MATCH(V68,Currency!$A$1:$E$1,0))))*(Inflation!$B$23/(VLOOKUP(U68,Inflation!$A$1:$B$23,2,FALSE)))</f>
        <v>12.950189999999999</v>
      </c>
      <c r="Z68" s="22" t="s">
        <v>1438</v>
      </c>
      <c r="AA68" s="22" t="s">
        <v>1849</v>
      </c>
      <c r="AB68" s="22"/>
      <c r="AC68" s="105"/>
      <c r="AD68" s="104"/>
      <c r="AF68" s="97"/>
      <c r="AG68" s="82"/>
      <c r="AP68" s="3"/>
      <c r="AQ68" s="15"/>
      <c r="AR68" s="83"/>
      <c r="AS68" s="3"/>
      <c r="AT68" s="3"/>
      <c r="AV68" s="3"/>
      <c r="AW68" s="15"/>
      <c r="AX68" s="83"/>
      <c r="AY68" s="3"/>
      <c r="AZ68" s="3"/>
    </row>
    <row r="69" spans="1:52">
      <c r="A69" s="3">
        <v>374</v>
      </c>
      <c r="B69" s="15">
        <v>0.3</v>
      </c>
      <c r="C69" s="83">
        <v>4.0577126254367899</v>
      </c>
      <c r="D69" s="3" t="s">
        <v>1533</v>
      </c>
      <c r="F69" s="3">
        <v>400</v>
      </c>
      <c r="G69" s="15">
        <v>0.06</v>
      </c>
      <c r="H69" s="83">
        <v>9.021172212727457</v>
      </c>
      <c r="I69" s="3" t="s">
        <v>1525</v>
      </c>
      <c r="K69" t="s">
        <v>1879</v>
      </c>
      <c r="L69">
        <v>2015</v>
      </c>
      <c r="M69" t="s">
        <v>1528</v>
      </c>
      <c r="N69" s="95">
        <v>0.36099999999999999</v>
      </c>
      <c r="O69">
        <v>22.9</v>
      </c>
      <c r="P69" s="34">
        <f>O69*(1/(INDEX(Currency!$A$1:$E$20,MATCH(L69,Currency!$A$1:$A$20,0),MATCH(M69,Currency!$A$1:$E$1,0))))*(Inflation!$B$23/(VLOOKUP(L69,Inflation!$A$1:$B$23,2,FALSE)))</f>
        <v>32.182527366000002</v>
      </c>
      <c r="Q69" s="16" t="s">
        <v>1507</v>
      </c>
      <c r="R69" t="s">
        <v>1837</v>
      </c>
      <c r="T69">
        <v>457</v>
      </c>
      <c r="U69">
        <v>2015</v>
      </c>
      <c r="V69" s="22" t="s">
        <v>1502</v>
      </c>
      <c r="W69" s="103">
        <v>0.2</v>
      </c>
      <c r="X69" s="22">
        <v>17.8</v>
      </c>
      <c r="Y69" s="34">
        <f>X69*(1/(INDEX(Currency!$A$1:$E$20,MATCH(U69,Currency!$A$1:$A$20,0),MATCH(V69,Currency!$A$1:$E$1,0))))*(Inflation!$B$23/(VLOOKUP(U69,Inflation!$A$1:$B$23,2,FALSE)))</f>
        <v>18.150660000000002</v>
      </c>
      <c r="Z69" s="22" t="s">
        <v>1438</v>
      </c>
      <c r="AA69" s="22" t="s">
        <v>1849</v>
      </c>
      <c r="AB69" s="22"/>
      <c r="AC69" s="105"/>
      <c r="AD69" s="104"/>
      <c r="AF69" s="97"/>
      <c r="AG69" s="82"/>
      <c r="AP69" s="3"/>
      <c r="AQ69" s="15"/>
      <c r="AR69" s="83"/>
      <c r="AS69" s="3"/>
      <c r="AT69" s="3"/>
      <c r="AV69" s="3"/>
      <c r="AW69" s="15"/>
      <c r="AX69" s="83"/>
      <c r="AY69" s="3"/>
      <c r="AZ69" s="3"/>
    </row>
    <row r="70" spans="1:52">
      <c r="A70" s="3">
        <v>374</v>
      </c>
      <c r="B70" s="15">
        <v>0.1</v>
      </c>
      <c r="C70" s="83">
        <v>1.5388530914830143</v>
      </c>
      <c r="D70" s="3" t="s">
        <v>1533</v>
      </c>
      <c r="F70" s="3">
        <v>400</v>
      </c>
      <c r="G70" s="15">
        <v>0.08</v>
      </c>
      <c r="H70" s="83">
        <v>9.021172212727457</v>
      </c>
      <c r="I70" s="3" t="s">
        <v>1525</v>
      </c>
      <c r="K70" t="s">
        <v>1879</v>
      </c>
      <c r="L70">
        <v>2015</v>
      </c>
      <c r="M70" t="s">
        <v>1528</v>
      </c>
      <c r="N70" s="95">
        <v>0.36299999999999999</v>
      </c>
      <c r="O70">
        <v>12</v>
      </c>
      <c r="P70" s="34">
        <f>O70*(1/(INDEX(Currency!$A$1:$E$20,MATCH(L70,Currency!$A$1:$A$20,0),MATCH(M70,Currency!$A$1:$E$1,0))))*(Inflation!$B$23/(VLOOKUP(L70,Inflation!$A$1:$B$23,2,FALSE)))</f>
        <v>16.864206480000004</v>
      </c>
      <c r="Q70" s="16" t="s">
        <v>1507</v>
      </c>
      <c r="R70" t="s">
        <v>1837</v>
      </c>
      <c r="T70">
        <v>457</v>
      </c>
      <c r="U70">
        <v>2015</v>
      </c>
      <c r="V70" s="22" t="s">
        <v>1502</v>
      </c>
      <c r="W70" s="103">
        <v>0.2</v>
      </c>
      <c r="X70" s="22">
        <v>24.7</v>
      </c>
      <c r="Y70" s="34">
        <f>X70*(1/(INDEX(Currency!$A$1:$E$20,MATCH(U70,Currency!$A$1:$A$20,0),MATCH(V70,Currency!$A$1:$E$1,0))))*(Inflation!$B$23/(VLOOKUP(U70,Inflation!$A$1:$B$23,2,FALSE)))</f>
        <v>25.186589999999999</v>
      </c>
      <c r="Z70" s="22" t="s">
        <v>1438</v>
      </c>
      <c r="AA70" s="22" t="s">
        <v>1849</v>
      </c>
      <c r="AB70" s="22"/>
      <c r="AC70" s="105"/>
      <c r="AD70" s="104"/>
      <c r="AF70" s="97"/>
      <c r="AG70" s="82"/>
      <c r="AP70" s="3"/>
      <c r="AQ70" s="15"/>
      <c r="AR70" s="83"/>
      <c r="AS70" s="3"/>
      <c r="AT70" s="3"/>
      <c r="AV70" s="3"/>
      <c r="AW70" s="15"/>
      <c r="AX70" s="83"/>
      <c r="AY70" s="3"/>
      <c r="AZ70" s="3"/>
    </row>
    <row r="71" spans="1:52">
      <c r="A71" s="3">
        <v>374</v>
      </c>
      <c r="B71" s="15">
        <v>0.3</v>
      </c>
      <c r="C71" s="83">
        <v>4.0577126254367899</v>
      </c>
      <c r="D71" s="3" t="s">
        <v>1533</v>
      </c>
      <c r="F71" s="3">
        <v>400</v>
      </c>
      <c r="G71" s="15">
        <v>0.1</v>
      </c>
      <c r="H71" s="83">
        <v>9.5337388157233356</v>
      </c>
      <c r="I71" s="3" t="s">
        <v>1525</v>
      </c>
      <c r="K71" t="s">
        <v>1879</v>
      </c>
      <c r="L71">
        <v>2015</v>
      </c>
      <c r="M71" t="s">
        <v>1528</v>
      </c>
      <c r="N71" s="95">
        <v>0.36399999999999999</v>
      </c>
      <c r="O71">
        <v>10.4</v>
      </c>
      <c r="P71" s="34">
        <f>O71*(1/(INDEX(Currency!$A$1:$E$20,MATCH(L71,Currency!$A$1:$A$20,0),MATCH(M71,Currency!$A$1:$E$1,0))))*(Inflation!$B$23/(VLOOKUP(L71,Inflation!$A$1:$B$23,2,FALSE)))</f>
        <v>14.615645616000004</v>
      </c>
      <c r="Q71" s="16" t="s">
        <v>1507</v>
      </c>
      <c r="R71" t="s">
        <v>1837</v>
      </c>
      <c r="T71">
        <v>457</v>
      </c>
      <c r="U71">
        <v>2015</v>
      </c>
      <c r="V71" s="22" t="s">
        <v>1502</v>
      </c>
      <c r="W71" s="103">
        <v>0.2</v>
      </c>
      <c r="X71" s="22">
        <v>38.700000000000003</v>
      </c>
      <c r="Y71" s="34">
        <f>X71*(1/(INDEX(Currency!$A$1:$E$20,MATCH(U71,Currency!$A$1:$A$20,0),MATCH(V71,Currency!$A$1:$E$1,0))))*(Inflation!$B$23/(VLOOKUP(U71,Inflation!$A$1:$B$23,2,FALSE)))</f>
        <v>39.462390000000006</v>
      </c>
      <c r="Z71" s="22" t="s">
        <v>1438</v>
      </c>
      <c r="AA71" s="22" t="s">
        <v>1849</v>
      </c>
      <c r="AB71" s="22"/>
      <c r="AC71" s="105"/>
      <c r="AD71" s="104"/>
      <c r="AF71" s="97"/>
      <c r="AG71" s="82"/>
      <c r="AP71" s="3"/>
      <c r="AQ71" s="15"/>
      <c r="AR71" s="83"/>
      <c r="AS71" s="3"/>
      <c r="AT71" s="3"/>
      <c r="AV71" s="3"/>
      <c r="AW71" s="15"/>
      <c r="AX71" s="83"/>
      <c r="AY71" s="3"/>
      <c r="AZ71" s="3"/>
    </row>
    <row r="72" spans="1:52">
      <c r="A72" s="3">
        <v>374</v>
      </c>
      <c r="B72" s="15">
        <v>0.1</v>
      </c>
      <c r="C72" s="83">
        <v>2.6727448431020773</v>
      </c>
      <c r="D72" s="3" t="s">
        <v>1530</v>
      </c>
      <c r="F72" s="3">
        <v>400</v>
      </c>
      <c r="G72" s="15">
        <v>0.12</v>
      </c>
      <c r="H72" s="83">
        <v>9.5337388157233356</v>
      </c>
      <c r="I72" s="3" t="s">
        <v>1525</v>
      </c>
      <c r="K72" t="s">
        <v>1879</v>
      </c>
      <c r="L72">
        <v>2015</v>
      </c>
      <c r="M72" t="s">
        <v>1528</v>
      </c>
      <c r="N72" s="95">
        <v>0.47099999999999997</v>
      </c>
      <c r="O72">
        <v>35.700000000000003</v>
      </c>
      <c r="P72" s="34">
        <f>O72*(1/(INDEX(Currency!$A$1:$E$20,MATCH(L72,Currency!$A$1:$A$20,0),MATCH(M72,Currency!$A$1:$E$1,0))))*(Inflation!$B$23/(VLOOKUP(L72,Inflation!$A$1:$B$23,2,FALSE)))</f>
        <v>50.171014278000008</v>
      </c>
      <c r="Q72" s="16" t="s">
        <v>1507</v>
      </c>
      <c r="R72" t="s">
        <v>1837</v>
      </c>
      <c r="T72">
        <v>457</v>
      </c>
      <c r="U72">
        <v>2015</v>
      </c>
      <c r="V72" s="22" t="s">
        <v>1502</v>
      </c>
      <c r="W72" s="103">
        <v>0.25</v>
      </c>
      <c r="X72" s="22">
        <v>13.7</v>
      </c>
      <c r="Y72" s="34">
        <f>X72*(1/(INDEX(Currency!$A$1:$E$20,MATCH(U72,Currency!$A$1:$A$20,0),MATCH(V72,Currency!$A$1:$E$1,0))))*(Inflation!$B$23/(VLOOKUP(U72,Inflation!$A$1:$B$23,2,FALSE)))</f>
        <v>13.969889999999999</v>
      </c>
      <c r="Z72" s="22" t="s">
        <v>1438</v>
      </c>
      <c r="AA72" s="22" t="s">
        <v>1849</v>
      </c>
      <c r="AB72" s="22"/>
      <c r="AC72" s="103"/>
      <c r="AD72" s="104"/>
      <c r="AF72" s="97"/>
      <c r="AG72" s="82"/>
      <c r="AP72" s="3"/>
      <c r="AQ72" s="15"/>
      <c r="AR72" s="83"/>
      <c r="AS72" s="3"/>
      <c r="AT72" s="3"/>
      <c r="AV72" s="3"/>
      <c r="AW72" s="15"/>
      <c r="AX72" s="83"/>
      <c r="AY72" s="3"/>
      <c r="AZ72" s="3"/>
    </row>
    <row r="73" spans="1:52">
      <c r="A73" s="3">
        <v>374</v>
      </c>
      <c r="B73" s="15">
        <v>0.3</v>
      </c>
      <c r="C73" s="83">
        <v>5.1916043770558531</v>
      </c>
      <c r="D73" s="3" t="s">
        <v>1530</v>
      </c>
      <c r="F73" s="3">
        <v>400</v>
      </c>
      <c r="G73" s="15">
        <v>0.14000000000000001</v>
      </c>
      <c r="H73" s="83">
        <v>9.5337388157233356</v>
      </c>
      <c r="I73" s="3" t="s">
        <v>1525</v>
      </c>
      <c r="K73" t="s">
        <v>1879</v>
      </c>
      <c r="L73">
        <v>2015</v>
      </c>
      <c r="M73" t="s">
        <v>1528</v>
      </c>
      <c r="N73" s="95">
        <v>0.51900000000000002</v>
      </c>
      <c r="O73">
        <v>25.2</v>
      </c>
      <c r="P73" s="34">
        <f>O73*(1/(INDEX(Currency!$A$1:$E$20,MATCH(L73,Currency!$A$1:$A$20,0),MATCH(M73,Currency!$A$1:$E$1,0))))*(Inflation!$B$23/(VLOOKUP(L73,Inflation!$A$1:$B$23,2,FALSE)))</f>
        <v>35.414833608000002</v>
      </c>
      <c r="Q73" s="16" t="s">
        <v>1507</v>
      </c>
      <c r="R73" t="s">
        <v>1837</v>
      </c>
      <c r="T73">
        <v>457</v>
      </c>
      <c r="U73">
        <v>2015</v>
      </c>
      <c r="V73" s="22" t="s">
        <v>1502</v>
      </c>
      <c r="W73" s="103">
        <v>0.3</v>
      </c>
      <c r="X73" s="22">
        <v>10.5</v>
      </c>
      <c r="Y73" s="34">
        <f>X73*(1/(INDEX(Currency!$A$1:$E$20,MATCH(U73,Currency!$A$1:$A$20,0),MATCH(V73,Currency!$A$1:$E$1,0))))*(Inflation!$B$23/(VLOOKUP(U73,Inflation!$A$1:$B$23,2,FALSE)))</f>
        <v>10.706850000000001</v>
      </c>
      <c r="Z73" s="22" t="s">
        <v>1438</v>
      </c>
      <c r="AA73" s="22" t="s">
        <v>1849</v>
      </c>
      <c r="AB73" s="22"/>
      <c r="AC73" s="103"/>
      <c r="AD73" s="104"/>
      <c r="AF73" s="97"/>
      <c r="AG73" s="82"/>
      <c r="AP73" s="3"/>
      <c r="AQ73" s="15"/>
      <c r="AR73" s="83"/>
      <c r="AS73" s="3"/>
      <c r="AT73" s="3"/>
      <c r="AV73" s="3"/>
      <c r="AW73" s="15"/>
      <c r="AX73" s="83"/>
      <c r="AY73" s="3"/>
      <c r="AZ73" s="3"/>
    </row>
    <row r="74" spans="1:52">
      <c r="A74" s="3">
        <v>374</v>
      </c>
      <c r="B74" s="15">
        <v>0.1</v>
      </c>
      <c r="C74" s="83">
        <v>2.6727448431020773</v>
      </c>
      <c r="D74" s="3" t="s">
        <v>1530</v>
      </c>
      <c r="F74" s="3">
        <v>400</v>
      </c>
      <c r="G74" s="15">
        <v>0.16</v>
      </c>
      <c r="H74" s="83">
        <v>9.9437920981200367</v>
      </c>
      <c r="I74" s="3" t="s">
        <v>1525</v>
      </c>
      <c r="K74" t="s">
        <v>1879</v>
      </c>
      <c r="L74">
        <v>2015</v>
      </c>
      <c r="M74" t="s">
        <v>1528</v>
      </c>
      <c r="N74" s="95">
        <v>0.51800000000000002</v>
      </c>
      <c r="O74">
        <v>24.4</v>
      </c>
      <c r="P74" s="34">
        <f>O74*(1/(INDEX(Currency!$A$1:$E$20,MATCH(L74,Currency!$A$1:$A$20,0),MATCH(M74,Currency!$A$1:$E$1,0))))*(Inflation!$B$23/(VLOOKUP(L74,Inflation!$A$1:$B$23,2,FALSE)))</f>
        <v>34.290553175999996</v>
      </c>
      <c r="Q74" s="16" t="s">
        <v>1507</v>
      </c>
      <c r="R74" t="s">
        <v>1837</v>
      </c>
      <c r="T74">
        <v>457</v>
      </c>
      <c r="U74">
        <v>2015</v>
      </c>
      <c r="V74" s="22" t="s">
        <v>1502</v>
      </c>
      <c r="W74" s="103">
        <v>0.3</v>
      </c>
      <c r="X74" s="22">
        <v>15.6</v>
      </c>
      <c r="Y74" s="34">
        <f>X74*(1/(INDEX(Currency!$A$1:$E$20,MATCH(U74,Currency!$A$1:$A$20,0),MATCH(V74,Currency!$A$1:$E$1,0))))*(Inflation!$B$23/(VLOOKUP(U74,Inflation!$A$1:$B$23,2,FALSE)))</f>
        <v>15.90732</v>
      </c>
      <c r="Z74" s="22" t="s">
        <v>1438</v>
      </c>
      <c r="AA74" s="22" t="s">
        <v>1849</v>
      </c>
      <c r="AB74" s="22"/>
      <c r="AC74" s="103"/>
      <c r="AD74" s="104"/>
      <c r="AF74" s="97"/>
      <c r="AG74" s="82"/>
      <c r="AP74" s="3"/>
      <c r="AQ74" s="15"/>
      <c r="AR74" s="83"/>
      <c r="AS74" s="3"/>
      <c r="AT74" s="3"/>
      <c r="AV74" s="3"/>
      <c r="AW74" s="15"/>
      <c r="AX74" s="83"/>
      <c r="AY74" s="3"/>
      <c r="AZ74" s="3"/>
    </row>
    <row r="75" spans="1:52">
      <c r="A75" s="3">
        <v>374</v>
      </c>
      <c r="B75" s="15">
        <v>0.3</v>
      </c>
      <c r="C75" s="83">
        <v>5.1916043770558531</v>
      </c>
      <c r="D75" s="3" t="s">
        <v>1530</v>
      </c>
      <c r="F75" s="3">
        <v>400</v>
      </c>
      <c r="G75" s="15">
        <v>0.18</v>
      </c>
      <c r="H75" s="83">
        <v>10.251332059917564</v>
      </c>
      <c r="I75" s="3" t="s">
        <v>1525</v>
      </c>
      <c r="K75" t="s">
        <v>1879</v>
      </c>
      <c r="L75">
        <v>2015</v>
      </c>
      <c r="M75" t="s">
        <v>1528</v>
      </c>
      <c r="N75" s="95">
        <v>0.51300000000000001</v>
      </c>
      <c r="O75">
        <v>12.2</v>
      </c>
      <c r="P75" s="34">
        <f>O75*(1/(INDEX(Currency!$A$1:$E$20,MATCH(L75,Currency!$A$1:$A$20,0),MATCH(M75,Currency!$A$1:$E$1,0))))*(Inflation!$B$23/(VLOOKUP(L75,Inflation!$A$1:$B$23,2,FALSE)))</f>
        <v>17.145276587999998</v>
      </c>
      <c r="Q75" s="16" t="s">
        <v>1507</v>
      </c>
      <c r="R75" t="s">
        <v>1837</v>
      </c>
      <c r="T75">
        <v>457</v>
      </c>
      <c r="U75">
        <v>2015</v>
      </c>
      <c r="V75" s="22" t="s">
        <v>1502</v>
      </c>
      <c r="W75" s="103">
        <v>0.3</v>
      </c>
      <c r="X75" s="22">
        <v>17.7</v>
      </c>
      <c r="Y75" s="34">
        <f>X75*(1/(INDEX(Currency!$A$1:$E$20,MATCH(U75,Currency!$A$1:$A$20,0),MATCH(V75,Currency!$A$1:$E$1,0))))*(Inflation!$B$23/(VLOOKUP(U75,Inflation!$A$1:$B$23,2,FALSE)))</f>
        <v>18.048690000000001</v>
      </c>
      <c r="Z75" s="22" t="s">
        <v>1438</v>
      </c>
      <c r="AA75" s="22" t="s">
        <v>1849</v>
      </c>
      <c r="AB75" s="22"/>
      <c r="AC75" s="103"/>
      <c r="AD75" s="104"/>
      <c r="AF75" s="97"/>
      <c r="AG75" s="82"/>
      <c r="AP75" s="3"/>
      <c r="AQ75" s="15"/>
      <c r="AR75" s="83"/>
      <c r="AS75" s="3"/>
      <c r="AT75" s="3"/>
      <c r="AV75" s="3"/>
      <c r="AW75" s="15"/>
      <c r="AX75" s="83"/>
      <c r="AY75" s="3"/>
      <c r="AZ75" s="3"/>
    </row>
    <row r="76" spans="1:52">
      <c r="A76" s="3">
        <v>374</v>
      </c>
      <c r="B76" s="15">
        <v>0.1</v>
      </c>
      <c r="C76" s="83">
        <v>2.6727448431020773</v>
      </c>
      <c r="D76" s="3" t="s">
        <v>1530</v>
      </c>
      <c r="F76" s="1">
        <v>400</v>
      </c>
      <c r="G76" s="15">
        <v>0.02</v>
      </c>
      <c r="H76" s="83">
        <v>12.814165074896955</v>
      </c>
      <c r="I76" s="3" t="s">
        <v>1526</v>
      </c>
      <c r="K76" t="s">
        <v>1879</v>
      </c>
      <c r="L76">
        <v>2015</v>
      </c>
      <c r="M76" t="s">
        <v>1528</v>
      </c>
      <c r="N76" s="95">
        <v>0.51400000000000001</v>
      </c>
      <c r="O76">
        <v>11.1</v>
      </c>
      <c r="P76" s="34">
        <f>O76*(1/(INDEX(Currency!$A$1:$E$20,MATCH(L76,Currency!$A$1:$A$20,0),MATCH(M76,Currency!$A$1:$E$1,0))))*(Inflation!$B$23/(VLOOKUP(L76,Inflation!$A$1:$B$23,2,FALSE)))</f>
        <v>15.599390994000002</v>
      </c>
      <c r="Q76" s="16" t="s">
        <v>1507</v>
      </c>
      <c r="R76" t="s">
        <v>1837</v>
      </c>
      <c r="T76">
        <v>457</v>
      </c>
      <c r="U76">
        <v>2015</v>
      </c>
      <c r="V76" s="22" t="s">
        <v>1502</v>
      </c>
      <c r="W76" s="103">
        <v>0.3</v>
      </c>
      <c r="X76" s="22">
        <v>24.1</v>
      </c>
      <c r="Y76" s="34">
        <f>X76*(1/(INDEX(Currency!$A$1:$E$20,MATCH(U76,Currency!$A$1:$A$20,0),MATCH(V76,Currency!$A$1:$E$1,0))))*(Inflation!$B$23/(VLOOKUP(U76,Inflation!$A$1:$B$23,2,FALSE)))</f>
        <v>24.574770000000004</v>
      </c>
      <c r="Z76" s="22" t="s">
        <v>1438</v>
      </c>
      <c r="AA76" s="22" t="s">
        <v>1849</v>
      </c>
      <c r="AB76" s="22"/>
      <c r="AC76" s="103"/>
      <c r="AD76" s="104"/>
      <c r="AF76" s="97"/>
      <c r="AG76" s="82"/>
      <c r="AP76" s="3"/>
      <c r="AQ76" s="15"/>
      <c r="AR76" s="83"/>
      <c r="AS76" s="3"/>
      <c r="AT76" s="3"/>
      <c r="AV76" s="1"/>
      <c r="AW76" s="15"/>
      <c r="AX76" s="83"/>
      <c r="AY76" s="3"/>
      <c r="AZ76" s="3"/>
    </row>
    <row r="77" spans="1:52">
      <c r="A77" s="3">
        <v>374</v>
      </c>
      <c r="B77" s="15">
        <v>0.3</v>
      </c>
      <c r="C77" s="83">
        <v>5.1916043770558531</v>
      </c>
      <c r="D77" s="3" t="s">
        <v>1530</v>
      </c>
      <c r="F77" s="3">
        <v>400</v>
      </c>
      <c r="G77" s="15">
        <v>0.04</v>
      </c>
      <c r="H77" s="83">
        <v>12.814165074896955</v>
      </c>
      <c r="I77" s="3" t="s">
        <v>1526</v>
      </c>
      <c r="K77">
        <v>456</v>
      </c>
      <c r="L77">
        <v>2015</v>
      </c>
      <c r="M77" t="s">
        <v>1528</v>
      </c>
      <c r="N77" s="95">
        <v>0.26600000000000001</v>
      </c>
      <c r="O77">
        <v>10.4</v>
      </c>
      <c r="P77" s="34">
        <f>O77*(1/(INDEX(Currency!$A$1:$E$20,MATCH(L77,Currency!$A$1:$A$20,0),MATCH(M77,Currency!$A$1:$E$1,0))))*(Inflation!$B$23/(VLOOKUP(L77,Inflation!$A$1:$B$23,2,FALSE)))</f>
        <v>14.615645616000004</v>
      </c>
      <c r="Q77" s="16" t="s">
        <v>1507</v>
      </c>
      <c r="R77" t="s">
        <v>1838</v>
      </c>
      <c r="T77">
        <v>457</v>
      </c>
      <c r="U77">
        <v>2015</v>
      </c>
      <c r="V77" s="22" t="s">
        <v>1502</v>
      </c>
      <c r="W77" s="103">
        <v>0.35</v>
      </c>
      <c r="X77" s="22">
        <v>21.3</v>
      </c>
      <c r="Y77" s="34">
        <f>X77*(1/(INDEX(Currency!$A$1:$E$20,MATCH(U77,Currency!$A$1:$A$20,0),MATCH(V77,Currency!$A$1:$E$1,0))))*(Inflation!$B$23/(VLOOKUP(U77,Inflation!$A$1:$B$23,2,FALSE)))</f>
        <v>21.719610000000003</v>
      </c>
      <c r="Z77" s="22" t="s">
        <v>1438</v>
      </c>
      <c r="AA77" s="22" t="s">
        <v>1849</v>
      </c>
      <c r="AB77" s="22"/>
      <c r="AC77" s="103"/>
      <c r="AD77" s="104"/>
      <c r="AF77" s="97"/>
      <c r="AG77" s="82"/>
      <c r="AP77" s="3"/>
      <c r="AQ77" s="15"/>
      <c r="AR77" s="83"/>
      <c r="AS77" s="3"/>
      <c r="AT77" s="3"/>
      <c r="AV77" s="3"/>
      <c r="AW77" s="15"/>
      <c r="AX77" s="83"/>
      <c r="AY77" s="3"/>
      <c r="AZ77" s="3"/>
    </row>
    <row r="78" spans="1:52">
      <c r="A78" s="3">
        <v>374</v>
      </c>
      <c r="B78" s="15">
        <v>0.1</v>
      </c>
      <c r="C78" s="83">
        <v>6.1797100463238941</v>
      </c>
      <c r="D78" s="3" t="s">
        <v>1534</v>
      </c>
      <c r="F78" s="3">
        <v>400</v>
      </c>
      <c r="G78" s="15">
        <v>0.06</v>
      </c>
      <c r="H78" s="83">
        <v>12.814165074896955</v>
      </c>
      <c r="I78" s="3" t="s">
        <v>1526</v>
      </c>
      <c r="K78">
        <v>456</v>
      </c>
      <c r="L78">
        <v>2015</v>
      </c>
      <c r="M78" t="s">
        <v>1528</v>
      </c>
      <c r="N78" s="95">
        <v>0.37</v>
      </c>
      <c r="O78">
        <v>28.9</v>
      </c>
      <c r="P78" s="34">
        <f>O78*(1/(INDEX(Currency!$A$1:$E$20,MATCH(L78,Currency!$A$1:$A$20,0),MATCH(M78,Currency!$A$1:$E$1,0))))*(Inflation!$B$23/(VLOOKUP(L78,Inflation!$A$1:$B$23,2,FALSE)))</f>
        <v>40.614630605999999</v>
      </c>
      <c r="Q78" s="16" t="s">
        <v>1507</v>
      </c>
      <c r="R78" t="s">
        <v>1838</v>
      </c>
      <c r="T78">
        <v>457</v>
      </c>
      <c r="U78">
        <v>2015</v>
      </c>
      <c r="V78" s="22" t="s">
        <v>1502</v>
      </c>
      <c r="W78" s="103">
        <v>0.35399999999999998</v>
      </c>
      <c r="X78" s="22">
        <v>20.6</v>
      </c>
      <c r="Y78" s="34">
        <f>X78*(1/(INDEX(Currency!$A$1:$E$20,MATCH(U78,Currency!$A$1:$A$20,0),MATCH(V78,Currency!$A$1:$E$1,0))))*(Inflation!$B$23/(VLOOKUP(U78,Inflation!$A$1:$B$23,2,FALSE)))</f>
        <v>21.005820000000003</v>
      </c>
      <c r="Z78" s="22" t="s">
        <v>1438</v>
      </c>
      <c r="AA78" s="22" t="s">
        <v>1849</v>
      </c>
      <c r="AB78" s="22"/>
      <c r="AC78" s="103"/>
      <c r="AD78" s="104"/>
      <c r="AF78" s="97"/>
      <c r="AG78" s="82"/>
      <c r="AP78" s="3"/>
      <c r="AQ78" s="15"/>
      <c r="AR78" s="83"/>
      <c r="AS78" s="3"/>
      <c r="AT78" s="3"/>
      <c r="AV78" s="3"/>
      <c r="AW78" s="15"/>
      <c r="AX78" s="83"/>
      <c r="AY78" s="3"/>
      <c r="AZ78" s="3"/>
    </row>
    <row r="79" spans="1:52">
      <c r="A79" s="3">
        <v>374</v>
      </c>
      <c r="B79" s="15">
        <v>0.3</v>
      </c>
      <c r="C79" s="83">
        <v>11.460405918149815</v>
      </c>
      <c r="D79" s="3" t="s">
        <v>1534</v>
      </c>
      <c r="F79" s="3">
        <v>400</v>
      </c>
      <c r="G79" s="15">
        <v>0.08</v>
      </c>
      <c r="H79" s="83">
        <v>12.814165074896955</v>
      </c>
      <c r="I79" s="3" t="s">
        <v>1526</v>
      </c>
      <c r="K79">
        <v>456</v>
      </c>
      <c r="L79">
        <v>2015</v>
      </c>
      <c r="M79" t="s">
        <v>1528</v>
      </c>
      <c r="N79" s="95">
        <v>0.505</v>
      </c>
      <c r="O79">
        <v>43.5</v>
      </c>
      <c r="P79" s="34">
        <f>O79*(1/(INDEX(Currency!$A$1:$E$20,MATCH(L79,Currency!$A$1:$A$20,0),MATCH(M79,Currency!$A$1:$E$1,0))))*(Inflation!$B$23/(VLOOKUP(L79,Inflation!$A$1:$B$23,2,FALSE)))</f>
        <v>61.132748490000004</v>
      </c>
      <c r="Q79" s="16" t="s">
        <v>1507</v>
      </c>
      <c r="R79" t="s">
        <v>1838</v>
      </c>
      <c r="T79">
        <v>457</v>
      </c>
      <c r="U79">
        <v>2015</v>
      </c>
      <c r="V79" s="22" t="s">
        <v>1502</v>
      </c>
      <c r="W79" s="103">
        <v>0.39200000000000002</v>
      </c>
      <c r="X79" s="22">
        <v>17</v>
      </c>
      <c r="Y79" s="34">
        <f>X79*(1/(INDEX(Currency!$A$1:$E$20,MATCH(U79,Currency!$A$1:$A$20,0),MATCH(V79,Currency!$A$1:$E$1,0))))*(Inflation!$B$23/(VLOOKUP(U79,Inflation!$A$1:$B$23,2,FALSE)))</f>
        <v>17.334900000000001</v>
      </c>
      <c r="Z79" s="22" t="s">
        <v>1438</v>
      </c>
      <c r="AA79" s="22" t="s">
        <v>1849</v>
      </c>
      <c r="AB79" s="22"/>
      <c r="AC79" s="103"/>
      <c r="AD79" s="104"/>
      <c r="AF79" s="97"/>
      <c r="AG79" s="82"/>
      <c r="AP79" s="3"/>
      <c r="AQ79" s="15"/>
      <c r="AR79" s="83"/>
      <c r="AS79" s="3"/>
      <c r="AT79" s="3"/>
      <c r="AV79" s="3"/>
      <c r="AW79" s="15"/>
      <c r="AX79" s="83"/>
      <c r="AY79" s="3"/>
      <c r="AZ79" s="3"/>
    </row>
    <row r="80" spans="1:52">
      <c r="A80" s="3">
        <v>374</v>
      </c>
      <c r="B80" s="15">
        <v>0.1</v>
      </c>
      <c r="C80" s="83">
        <v>6.1797100463238941</v>
      </c>
      <c r="D80" s="3" t="s">
        <v>1534</v>
      </c>
      <c r="F80" s="3">
        <v>400</v>
      </c>
      <c r="G80" s="15">
        <v>0.1</v>
      </c>
      <c r="H80" s="83">
        <v>12.814165074896955</v>
      </c>
      <c r="I80" s="3" t="s">
        <v>1526</v>
      </c>
      <c r="K80">
        <v>456</v>
      </c>
      <c r="L80">
        <v>2015</v>
      </c>
      <c r="M80" t="s">
        <v>1528</v>
      </c>
      <c r="N80" s="95">
        <v>0.26500000000000001</v>
      </c>
      <c r="O80">
        <v>9.6999999999999993</v>
      </c>
      <c r="P80" s="34">
        <f>O80*(1/(INDEX(Currency!$A$1:$E$20,MATCH(L80,Currency!$A$1:$A$20,0),MATCH(M80,Currency!$A$1:$E$1,0))))*(Inflation!$B$23/(VLOOKUP(L80,Inflation!$A$1:$B$23,2,FALSE)))</f>
        <v>13.631900238</v>
      </c>
      <c r="Q80" s="16" t="s">
        <v>1507</v>
      </c>
      <c r="R80" t="s">
        <v>1839</v>
      </c>
      <c r="T80">
        <v>457</v>
      </c>
      <c r="U80">
        <v>2015</v>
      </c>
      <c r="V80" s="22" t="s">
        <v>1502</v>
      </c>
      <c r="W80" s="103">
        <v>0.4</v>
      </c>
      <c r="X80" s="22">
        <v>19</v>
      </c>
      <c r="Y80" s="34">
        <f>X80*(1/(INDEX(Currency!$A$1:$E$20,MATCH(U80,Currency!$A$1:$A$20,0),MATCH(V80,Currency!$A$1:$E$1,0))))*(Inflation!$B$23/(VLOOKUP(U80,Inflation!$A$1:$B$23,2,FALSE)))</f>
        <v>19.374300000000002</v>
      </c>
      <c r="Z80" s="22" t="s">
        <v>1438</v>
      </c>
      <c r="AA80" s="22" t="s">
        <v>1849</v>
      </c>
      <c r="AB80" s="22"/>
      <c r="AC80" s="103"/>
      <c r="AD80" s="104"/>
      <c r="AF80" s="97"/>
      <c r="AG80" s="82"/>
      <c r="AP80" s="3"/>
      <c r="AQ80" s="15"/>
      <c r="AR80" s="83"/>
      <c r="AS80" s="3"/>
      <c r="AT80" s="3"/>
      <c r="AV80" s="3"/>
      <c r="AW80" s="15"/>
      <c r="AX80" s="83"/>
      <c r="AY80" s="3"/>
      <c r="AZ80" s="3"/>
    </row>
    <row r="81" spans="1:52">
      <c r="A81" s="3">
        <v>374</v>
      </c>
      <c r="B81" s="15">
        <v>0.3</v>
      </c>
      <c r="C81" s="83">
        <v>11.460405918149815</v>
      </c>
      <c r="D81" s="3" t="s">
        <v>1534</v>
      </c>
      <c r="F81" s="3">
        <v>400</v>
      </c>
      <c r="G81" s="15">
        <v>0.12</v>
      </c>
      <c r="H81" s="83">
        <v>13.121705036694483</v>
      </c>
      <c r="I81" s="3" t="s">
        <v>1526</v>
      </c>
      <c r="K81">
        <v>456</v>
      </c>
      <c r="L81">
        <v>2015</v>
      </c>
      <c r="M81" t="s">
        <v>1528</v>
      </c>
      <c r="N81" s="95">
        <v>0.37</v>
      </c>
      <c r="O81">
        <v>11.2</v>
      </c>
      <c r="P81" s="34">
        <f>O81*(1/(INDEX(Currency!$A$1:$E$20,MATCH(L81,Currency!$A$1:$A$20,0),MATCH(M81,Currency!$A$1:$E$1,0))))*(Inflation!$B$23/(VLOOKUP(L81,Inflation!$A$1:$B$23,2,FALSE)))</f>
        <v>15.739926048000001</v>
      </c>
      <c r="Q81" s="16" t="s">
        <v>1507</v>
      </c>
      <c r="R81" t="s">
        <v>1839</v>
      </c>
      <c r="T81">
        <v>457</v>
      </c>
      <c r="U81">
        <v>2015</v>
      </c>
      <c r="V81" s="22" t="s">
        <v>1502</v>
      </c>
      <c r="W81" s="103">
        <v>0.4</v>
      </c>
      <c r="X81" s="22">
        <v>20.6</v>
      </c>
      <c r="Y81" s="34">
        <f>X81*(1/(INDEX(Currency!$A$1:$E$20,MATCH(U81,Currency!$A$1:$A$20,0),MATCH(V81,Currency!$A$1:$E$1,0))))*(Inflation!$B$23/(VLOOKUP(U81,Inflation!$A$1:$B$23,2,FALSE)))</f>
        <v>21.005820000000003</v>
      </c>
      <c r="Z81" s="22" t="s">
        <v>1438</v>
      </c>
      <c r="AA81" s="22" t="s">
        <v>1849</v>
      </c>
      <c r="AB81" s="22"/>
      <c r="AC81" s="103"/>
      <c r="AD81" s="104"/>
      <c r="AF81" s="97"/>
      <c r="AG81" s="82"/>
      <c r="AP81" s="3"/>
      <c r="AQ81" s="15"/>
      <c r="AR81" s="83"/>
      <c r="AS81" s="3"/>
      <c r="AT81" s="3"/>
      <c r="AV81" s="3"/>
      <c r="AW81" s="15"/>
      <c r="AX81" s="83"/>
      <c r="AY81" s="3"/>
      <c r="AZ81" s="3"/>
    </row>
    <row r="82" spans="1:52">
      <c r="A82" s="3">
        <v>374</v>
      </c>
      <c r="B82" s="15">
        <v>0.1</v>
      </c>
      <c r="C82" s="83">
        <v>6.1797100463238941</v>
      </c>
      <c r="D82" s="3" t="s">
        <v>1534</v>
      </c>
      <c r="F82" s="3">
        <v>400</v>
      </c>
      <c r="G82" s="15">
        <v>0.14000000000000001</v>
      </c>
      <c r="H82" s="83">
        <v>13.224218357293658</v>
      </c>
      <c r="I82" s="3" t="s">
        <v>1526</v>
      </c>
      <c r="K82">
        <v>456</v>
      </c>
      <c r="L82">
        <v>2015</v>
      </c>
      <c r="M82" t="s">
        <v>1528</v>
      </c>
      <c r="N82" s="95">
        <v>0.47</v>
      </c>
      <c r="O82">
        <v>17.399999999999999</v>
      </c>
      <c r="P82" s="34">
        <f>O82*(1/(INDEX(Currency!$A$1:$E$20,MATCH(L82,Currency!$A$1:$A$20,0),MATCH(M82,Currency!$A$1:$E$1,0))))*(Inflation!$B$23/(VLOOKUP(L82,Inflation!$A$1:$B$23,2,FALSE)))</f>
        <v>24.453099396000002</v>
      </c>
      <c r="Q82" s="16" t="s">
        <v>1507</v>
      </c>
      <c r="R82" t="s">
        <v>1839</v>
      </c>
      <c r="T82">
        <v>457</v>
      </c>
      <c r="U82">
        <v>2015</v>
      </c>
      <c r="V82" s="22" t="s">
        <v>1502</v>
      </c>
      <c r="W82" s="103">
        <v>0.4</v>
      </c>
      <c r="X82" s="22">
        <v>21.2</v>
      </c>
      <c r="Y82" s="34">
        <f>X82*(1/(INDEX(Currency!$A$1:$E$20,MATCH(U82,Currency!$A$1:$A$20,0),MATCH(V82,Currency!$A$1:$E$1,0))))*(Inflation!$B$23/(VLOOKUP(U82,Inflation!$A$1:$B$23,2,FALSE)))</f>
        <v>21.617640000000002</v>
      </c>
      <c r="Z82" s="22" t="s">
        <v>1438</v>
      </c>
      <c r="AA82" s="22" t="s">
        <v>1849</v>
      </c>
      <c r="AB82" s="22"/>
      <c r="AC82" s="103"/>
      <c r="AD82" s="104"/>
      <c r="AF82" s="97"/>
      <c r="AG82" s="82"/>
      <c r="AP82" s="3"/>
      <c r="AQ82" s="15"/>
      <c r="AR82" s="83"/>
      <c r="AS82" s="3"/>
      <c r="AT82" s="3"/>
      <c r="AV82" s="3"/>
      <c r="AW82" s="15"/>
      <c r="AX82" s="83"/>
      <c r="AY82" s="3"/>
      <c r="AZ82" s="3"/>
    </row>
    <row r="83" spans="1:52">
      <c r="A83" s="3">
        <v>374</v>
      </c>
      <c r="B83" s="15">
        <v>0.3</v>
      </c>
      <c r="C83" s="83">
        <v>11.460405918149815</v>
      </c>
      <c r="D83" s="3" t="s">
        <v>1534</v>
      </c>
      <c r="F83" s="3">
        <v>400</v>
      </c>
      <c r="G83" s="15">
        <v>0.16</v>
      </c>
      <c r="H83" s="83">
        <v>13.326731677892834</v>
      </c>
      <c r="I83" s="3" t="s">
        <v>1526</v>
      </c>
      <c r="K83">
        <v>456</v>
      </c>
      <c r="L83">
        <v>2015</v>
      </c>
      <c r="M83" t="s">
        <v>1528</v>
      </c>
      <c r="N83" s="95">
        <v>0.26500000000000001</v>
      </c>
      <c r="O83">
        <v>7</v>
      </c>
      <c r="P83" s="34">
        <f>O83*(1/(INDEX(Currency!$A$1:$E$20,MATCH(L83,Currency!$A$1:$A$20,0),MATCH(M83,Currency!$A$1:$E$1,0))))*(Inflation!$B$23/(VLOOKUP(L83,Inflation!$A$1:$B$23,2,FALSE)))</f>
        <v>9.8374537800000024</v>
      </c>
      <c r="Q83" s="16" t="s">
        <v>1507</v>
      </c>
      <c r="R83" t="s">
        <v>1840</v>
      </c>
      <c r="T83" s="23">
        <v>459</v>
      </c>
      <c r="U83">
        <v>2015</v>
      </c>
      <c r="V83" t="s">
        <v>1502</v>
      </c>
      <c r="W83" s="103">
        <v>0.25</v>
      </c>
      <c r="X83" s="22">
        <v>11</v>
      </c>
      <c r="Y83" s="34">
        <f>X83*(1/(INDEX(Currency!$A$1:$E$20,MATCH(U83,Currency!$A$1:$A$20,0),MATCH(V83,Currency!$A$1:$E$1,0))))*(Inflation!$B$24/(VLOOKUP(U83,Inflation!$A$1:$B$24,2,FALSE)))</f>
        <v>11.454299999999998</v>
      </c>
      <c r="Z83" s="22" t="s">
        <v>1530</v>
      </c>
      <c r="AA83" s="22" t="s">
        <v>1853</v>
      </c>
      <c r="AB83" s="22"/>
      <c r="AC83" s="105"/>
      <c r="AD83" s="104"/>
      <c r="AF83" s="97"/>
      <c r="AG83" s="82"/>
      <c r="AP83" s="3"/>
      <c r="AQ83" s="15"/>
      <c r="AR83" s="83"/>
      <c r="AS83" s="3"/>
      <c r="AT83" s="3"/>
      <c r="AV83" s="3"/>
      <c r="AW83" s="15"/>
      <c r="AX83" s="83"/>
      <c r="AY83" s="3"/>
      <c r="AZ83" s="3"/>
    </row>
    <row r="84" spans="1:52">
      <c r="A84" s="3">
        <v>374</v>
      </c>
      <c r="B84" s="15">
        <v>0.1</v>
      </c>
      <c r="C84" s="83">
        <v>6.1797100463238941</v>
      </c>
      <c r="D84" s="3" t="s">
        <v>1507</v>
      </c>
      <c r="F84" s="3">
        <v>400</v>
      </c>
      <c r="G84" s="15">
        <v>0.18</v>
      </c>
      <c r="H84" s="83">
        <v>13.326731677892834</v>
      </c>
      <c r="I84" s="3" t="s">
        <v>1526</v>
      </c>
      <c r="K84">
        <v>456</v>
      </c>
      <c r="L84">
        <v>2015</v>
      </c>
      <c r="M84" t="s">
        <v>1528</v>
      </c>
      <c r="N84" s="95">
        <v>0.27800000000000002</v>
      </c>
      <c r="O84">
        <v>12.3</v>
      </c>
      <c r="P84" s="34">
        <f>O84*(1/(INDEX(Currency!$A$1:$E$20,MATCH(L84,Currency!$A$1:$A$20,0),MATCH(M84,Currency!$A$1:$E$1,0))))*(Inflation!$B$23/(VLOOKUP(L84,Inflation!$A$1:$B$23,2,FALSE)))</f>
        <v>17.285811642000006</v>
      </c>
      <c r="Q84" s="16" t="s">
        <v>1507</v>
      </c>
      <c r="R84" t="s">
        <v>1840</v>
      </c>
      <c r="T84" s="23">
        <v>459</v>
      </c>
      <c r="U84">
        <v>2015</v>
      </c>
      <c r="V84" t="s">
        <v>1502</v>
      </c>
      <c r="W84" s="103">
        <v>0.1</v>
      </c>
      <c r="X84" s="22">
        <v>1.5</v>
      </c>
      <c r="Y84" s="34">
        <f>X84*(1/(INDEX(Currency!$A$1:$E$20,MATCH(U84,Currency!$A$1:$A$20,0),MATCH(V84,Currency!$A$1:$E$1,0))))*(Inflation!$B$24/(VLOOKUP(U84,Inflation!$A$1:$B$24,2,FALSE)))</f>
        <v>1.5619499999999999</v>
      </c>
      <c r="Z84" s="22" t="s">
        <v>1530</v>
      </c>
      <c r="AA84" s="22" t="s">
        <v>1854</v>
      </c>
      <c r="AB84" s="22"/>
      <c r="AC84" s="105"/>
      <c r="AD84" s="104"/>
      <c r="AF84" s="97"/>
      <c r="AG84" s="82"/>
      <c r="AP84" s="3"/>
      <c r="AQ84" s="15"/>
      <c r="AR84" s="83"/>
      <c r="AS84" s="3"/>
      <c r="AT84" s="3"/>
      <c r="AV84" s="3"/>
      <c r="AW84" s="15"/>
      <c r="AX84" s="83"/>
      <c r="AY84" s="3"/>
      <c r="AZ84" s="3"/>
    </row>
    <row r="85" spans="1:52">
      <c r="A85" s="3">
        <v>374</v>
      </c>
      <c r="B85" s="15">
        <v>0.3</v>
      </c>
      <c r="C85" s="83">
        <v>11.460405918149815</v>
      </c>
      <c r="D85" s="3" t="s">
        <v>1507</v>
      </c>
      <c r="F85" s="3">
        <v>400</v>
      </c>
      <c r="G85" s="15">
        <v>0.02</v>
      </c>
      <c r="H85" s="83">
        <v>6.7658791595455918</v>
      </c>
      <c r="I85" s="3" t="s">
        <v>1526</v>
      </c>
      <c r="K85">
        <v>456</v>
      </c>
      <c r="L85">
        <v>2015</v>
      </c>
      <c r="M85" t="s">
        <v>1528</v>
      </c>
      <c r="N85" s="95">
        <v>0.35499999999999998</v>
      </c>
      <c r="O85">
        <v>12.7</v>
      </c>
      <c r="P85" s="34">
        <f>O85*(1/(INDEX(Currency!$A$1:$E$20,MATCH(L85,Currency!$A$1:$A$20,0),MATCH(M85,Currency!$A$1:$E$1,0))))*(Inflation!$B$23/(VLOOKUP(L85,Inflation!$A$1:$B$23,2,FALSE)))</f>
        <v>17.847951858000002</v>
      </c>
      <c r="Q85" s="16" t="s">
        <v>1507</v>
      </c>
      <c r="R85" t="s">
        <v>1840</v>
      </c>
      <c r="T85" s="23">
        <v>460</v>
      </c>
      <c r="U85">
        <v>2014</v>
      </c>
      <c r="V85" t="s">
        <v>1502</v>
      </c>
      <c r="W85" s="103">
        <v>0.15</v>
      </c>
      <c r="X85" s="22">
        <v>3.8</v>
      </c>
      <c r="Y85" s="34">
        <f>X85*(1/(INDEX(Currency!$A$1:$E$20,MATCH(U85,Currency!$A$1:$A$20,0),MATCH(V85,Currency!$A$1:$E$1,0))))*(Inflation!$B$24/(VLOOKUP(U85,Inflation!$A$1:$B$24,2,FALSE)))</f>
        <v>3.956544345565443</v>
      </c>
      <c r="Z85" s="22" t="s">
        <v>1855</v>
      </c>
      <c r="AA85" s="22" t="s">
        <v>1856</v>
      </c>
      <c r="AB85" s="22"/>
      <c r="AC85" s="105"/>
      <c r="AD85" s="104"/>
      <c r="AF85" s="97"/>
      <c r="AG85" s="82"/>
      <c r="AH85" s="82"/>
      <c r="AP85" s="3"/>
      <c r="AQ85" s="15"/>
      <c r="AR85" s="83"/>
      <c r="AS85" s="3"/>
      <c r="AT85" s="3"/>
      <c r="AV85" s="3"/>
      <c r="AW85" s="15"/>
      <c r="AX85" s="83"/>
      <c r="AY85" s="3"/>
      <c r="AZ85" s="3"/>
    </row>
    <row r="86" spans="1:52">
      <c r="A86" s="3">
        <v>374</v>
      </c>
      <c r="B86" s="15">
        <v>0.1</v>
      </c>
      <c r="C86" s="83">
        <v>6.1797100463238941</v>
      </c>
      <c r="D86" s="3" t="s">
        <v>1507</v>
      </c>
      <c r="F86" s="3">
        <v>400</v>
      </c>
      <c r="G86" s="15">
        <v>0.04</v>
      </c>
      <c r="H86" s="83">
        <v>6.7658791595455918</v>
      </c>
      <c r="I86" s="3" t="s">
        <v>1526</v>
      </c>
      <c r="K86">
        <v>456</v>
      </c>
      <c r="L86">
        <v>2015</v>
      </c>
      <c r="M86" t="s">
        <v>1528</v>
      </c>
      <c r="N86" s="95">
        <v>0.37</v>
      </c>
      <c r="O86">
        <v>8.1</v>
      </c>
      <c r="P86" s="34">
        <f>O86*(1/(INDEX(Currency!$A$1:$E$20,MATCH(L86,Currency!$A$1:$A$20,0),MATCH(M86,Currency!$A$1:$E$1,0))))*(Inflation!$B$23/(VLOOKUP(L86,Inflation!$A$1:$B$23,2,FALSE)))</f>
        <v>11.383339374</v>
      </c>
      <c r="Q86" s="16" t="s">
        <v>1507</v>
      </c>
      <c r="R86" t="s">
        <v>1840</v>
      </c>
      <c r="T86" s="23">
        <v>460</v>
      </c>
      <c r="U86">
        <v>2014</v>
      </c>
      <c r="V86" t="s">
        <v>1502</v>
      </c>
      <c r="W86" s="103">
        <v>0.2</v>
      </c>
      <c r="X86" s="22">
        <v>3.5</v>
      </c>
      <c r="Y86" s="34">
        <f>X86*(1/(INDEX(Currency!$A$1:$E$20,MATCH(U86,Currency!$A$1:$A$20,0),MATCH(V86,Currency!$A$1:$E$1,0))))*(Inflation!$B$24/(VLOOKUP(U86,Inflation!$A$1:$B$24,2,FALSE)))</f>
        <v>3.6441855814418558</v>
      </c>
      <c r="Z86" s="22" t="s">
        <v>1855</v>
      </c>
      <c r="AA86" s="22" t="s">
        <v>1856</v>
      </c>
      <c r="AB86" s="22"/>
      <c r="AC86" s="105"/>
      <c r="AD86" s="104"/>
      <c r="AF86" s="95"/>
      <c r="AG86" s="82"/>
      <c r="AP86" s="3"/>
      <c r="AQ86" s="15"/>
      <c r="AR86" s="83"/>
      <c r="AS86" s="3"/>
      <c r="AT86" s="3"/>
      <c r="AV86" s="3"/>
      <c r="AW86" s="15"/>
      <c r="AX86" s="83"/>
      <c r="AY86" s="3"/>
      <c r="AZ86" s="3"/>
    </row>
    <row r="87" spans="1:52">
      <c r="A87" s="3">
        <v>374</v>
      </c>
      <c r="B87" s="15">
        <v>0.3</v>
      </c>
      <c r="C87" s="83">
        <v>11.460405918149815</v>
      </c>
      <c r="D87" s="3" t="s">
        <v>1507</v>
      </c>
      <c r="F87" s="3">
        <v>400</v>
      </c>
      <c r="G87" s="15">
        <v>0.06</v>
      </c>
      <c r="H87" s="83">
        <v>6.7658791595455918</v>
      </c>
      <c r="I87" s="3" t="s">
        <v>1526</v>
      </c>
      <c r="K87">
        <v>456</v>
      </c>
      <c r="L87">
        <v>2015</v>
      </c>
      <c r="M87" t="s">
        <v>1528</v>
      </c>
      <c r="N87" s="95">
        <v>0.41499999999999998</v>
      </c>
      <c r="O87">
        <v>13.3</v>
      </c>
      <c r="P87" s="34">
        <f>O87*(1/(INDEX(Currency!$A$1:$E$20,MATCH(L87,Currency!$A$1:$A$20,0),MATCH(M87,Currency!$A$1:$E$1,0))))*(Inflation!$B$23/(VLOOKUP(L87,Inflation!$A$1:$B$23,2,FALSE)))</f>
        <v>18.691162182000003</v>
      </c>
      <c r="Q87" s="16" t="s">
        <v>1507</v>
      </c>
      <c r="R87" t="s">
        <v>1840</v>
      </c>
      <c r="T87" s="23">
        <v>460</v>
      </c>
      <c r="U87">
        <v>2014</v>
      </c>
      <c r="V87" t="s">
        <v>1502</v>
      </c>
      <c r="W87" s="103">
        <v>0.15</v>
      </c>
      <c r="X87" s="22">
        <v>0.1</v>
      </c>
      <c r="Y87" s="34">
        <f>X87*(1/(INDEX(Currency!$A$1:$E$20,MATCH(U87,Currency!$A$1:$A$20,0),MATCH(V87,Currency!$A$1:$E$1,0))))*(Inflation!$B$24/(VLOOKUP(U87,Inflation!$A$1:$B$24,2,FALSE)))</f>
        <v>0.10411958804119588</v>
      </c>
      <c r="Z87" s="22" t="s">
        <v>1855</v>
      </c>
      <c r="AA87" s="22" t="s">
        <v>1856</v>
      </c>
      <c r="AB87" s="22"/>
      <c r="AC87" s="105"/>
      <c r="AD87" s="104"/>
      <c r="AF87" s="95"/>
      <c r="AG87" s="82"/>
      <c r="AP87" s="3"/>
      <c r="AQ87" s="15"/>
      <c r="AR87" s="83"/>
      <c r="AS87" s="3"/>
      <c r="AT87" s="3"/>
      <c r="AV87" s="3"/>
      <c r="AW87" s="15"/>
      <c r="AX87" s="83"/>
      <c r="AY87" s="3"/>
      <c r="AZ87" s="3"/>
    </row>
    <row r="88" spans="1:52">
      <c r="A88" s="3">
        <v>374</v>
      </c>
      <c r="B88" s="15">
        <v>0.1</v>
      </c>
      <c r="C88" s="83">
        <v>6.1797100463238941</v>
      </c>
      <c r="D88" s="3" t="s">
        <v>1507</v>
      </c>
      <c r="F88" s="3">
        <v>400</v>
      </c>
      <c r="G88" s="15">
        <v>0.08</v>
      </c>
      <c r="H88" s="83">
        <v>8.3035789685332269</v>
      </c>
      <c r="I88" s="3" t="s">
        <v>1526</v>
      </c>
      <c r="K88">
        <v>456</v>
      </c>
      <c r="L88">
        <v>2015</v>
      </c>
      <c r="M88" t="s">
        <v>1528</v>
      </c>
      <c r="N88" s="95">
        <v>0.46</v>
      </c>
      <c r="O88">
        <v>13.6</v>
      </c>
      <c r="P88" s="34">
        <f>O88*(1/(INDEX(Currency!$A$1:$E$20,MATCH(L88,Currency!$A$1:$A$20,0),MATCH(M88,Currency!$A$1:$E$1,0))))*(Inflation!$B$23/(VLOOKUP(L88,Inflation!$A$1:$B$23,2,FALSE)))</f>
        <v>19.112767344000002</v>
      </c>
      <c r="Q88" s="16" t="s">
        <v>1507</v>
      </c>
      <c r="R88" t="s">
        <v>1840</v>
      </c>
      <c r="T88" s="23">
        <v>460</v>
      </c>
      <c r="U88">
        <v>2014</v>
      </c>
      <c r="V88" t="s">
        <v>1502</v>
      </c>
      <c r="W88" s="103">
        <v>0.2</v>
      </c>
      <c r="X88" s="22">
        <v>0.4</v>
      </c>
      <c r="Y88" s="34">
        <f>X88*(1/(INDEX(Currency!$A$1:$E$20,MATCH(U88,Currency!$A$1:$A$20,0),MATCH(V88,Currency!$A$1:$E$1,0))))*(Inflation!$B$24/(VLOOKUP(U88,Inflation!$A$1:$B$24,2,FALSE)))</f>
        <v>0.41647835216478352</v>
      </c>
      <c r="Z88" s="22" t="s">
        <v>1855</v>
      </c>
      <c r="AA88" s="22" t="s">
        <v>1856</v>
      </c>
      <c r="AB88" s="22"/>
      <c r="AC88" s="105"/>
      <c r="AD88" s="104"/>
      <c r="AF88" s="95"/>
      <c r="AG88" s="82"/>
      <c r="AP88" s="3"/>
      <c r="AQ88" s="15"/>
      <c r="AR88" s="83"/>
      <c r="AS88" s="3"/>
      <c r="AT88" s="3"/>
      <c r="AV88" s="3"/>
      <c r="AW88" s="15"/>
      <c r="AX88" s="83"/>
      <c r="AY88" s="3"/>
      <c r="AZ88" s="3"/>
    </row>
    <row r="89" spans="1:52">
      <c r="A89" s="3">
        <v>374</v>
      </c>
      <c r="B89" s="15">
        <v>0.3</v>
      </c>
      <c r="C89" s="83">
        <v>11.460405918149815</v>
      </c>
      <c r="D89" s="3" t="s">
        <v>1507</v>
      </c>
      <c r="F89" s="3">
        <v>400</v>
      </c>
      <c r="G89" s="15">
        <v>0.1</v>
      </c>
      <c r="H89" s="83">
        <v>8.3035789685332269</v>
      </c>
      <c r="I89" s="3" t="s">
        <v>1526</v>
      </c>
      <c r="K89">
        <v>456</v>
      </c>
      <c r="L89">
        <v>2015</v>
      </c>
      <c r="M89" t="s">
        <v>1528</v>
      </c>
      <c r="N89" s="95">
        <v>0.46</v>
      </c>
      <c r="O89">
        <v>14.4</v>
      </c>
      <c r="P89" s="34">
        <f>O89*(1/(INDEX(Currency!$A$1:$E$20,MATCH(L89,Currency!$A$1:$A$20,0),MATCH(M89,Currency!$A$1:$E$1,0))))*(Inflation!$B$23/(VLOOKUP(L89,Inflation!$A$1:$B$23,2,FALSE)))</f>
        <v>20.237047776000001</v>
      </c>
      <c r="Q89" s="16" t="s">
        <v>1507</v>
      </c>
      <c r="R89" t="s">
        <v>1840</v>
      </c>
      <c r="T89" s="23">
        <v>460</v>
      </c>
      <c r="U89">
        <v>2014</v>
      </c>
      <c r="V89" t="s">
        <v>1502</v>
      </c>
      <c r="W89" s="103">
        <v>0.15</v>
      </c>
      <c r="X89" s="22">
        <v>0</v>
      </c>
      <c r="Y89" s="34">
        <f>X89*(1/(INDEX(Currency!$A$1:$E$20,MATCH(U89,Currency!$A$1:$A$20,0),MATCH(V89,Currency!$A$1:$E$1,0))))*(Inflation!$B$24/(VLOOKUP(U89,Inflation!$A$1:$B$24,2,FALSE)))</f>
        <v>0</v>
      </c>
      <c r="Z89" s="22" t="s">
        <v>1855</v>
      </c>
      <c r="AA89" s="22" t="s">
        <v>1856</v>
      </c>
      <c r="AB89" s="22"/>
      <c r="AC89" s="105"/>
      <c r="AD89" s="104"/>
      <c r="AF89" s="95"/>
      <c r="AG89" s="82"/>
      <c r="AP89" s="3"/>
      <c r="AQ89" s="15"/>
      <c r="AR89" s="83"/>
      <c r="AS89" s="3"/>
      <c r="AT89" s="3"/>
      <c r="AV89" s="3"/>
      <c r="AW89" s="15"/>
      <c r="AX89" s="83"/>
      <c r="AY89" s="3"/>
      <c r="AZ89" s="3"/>
    </row>
    <row r="90" spans="1:52">
      <c r="A90" s="3">
        <v>374</v>
      </c>
      <c r="B90" s="15">
        <v>0.1</v>
      </c>
      <c r="C90" s="83">
        <v>1.6198453594558044</v>
      </c>
      <c r="D90" s="3" t="s">
        <v>1516</v>
      </c>
      <c r="F90" s="3">
        <v>400</v>
      </c>
      <c r="G90" s="15">
        <v>0.12</v>
      </c>
      <c r="H90" s="83">
        <v>8.3035789685332269</v>
      </c>
      <c r="I90" s="3" t="s">
        <v>1526</v>
      </c>
      <c r="K90">
        <v>456</v>
      </c>
      <c r="L90">
        <v>2015</v>
      </c>
      <c r="M90" t="s">
        <v>1528</v>
      </c>
      <c r="N90" s="95">
        <v>0.53900000000000003</v>
      </c>
      <c r="O90">
        <v>14.6</v>
      </c>
      <c r="P90" s="34">
        <f>O90*(1/(INDEX(Currency!$A$1:$E$20,MATCH(L90,Currency!$A$1:$A$20,0),MATCH(M90,Currency!$A$1:$E$1,0))))*(Inflation!$B$23/(VLOOKUP(L90,Inflation!$A$1:$B$23,2,FALSE)))</f>
        <v>20.518117884000002</v>
      </c>
      <c r="Q90" s="16" t="s">
        <v>1507</v>
      </c>
      <c r="R90" t="s">
        <v>1840</v>
      </c>
      <c r="T90" s="23">
        <v>460</v>
      </c>
      <c r="U90">
        <v>2014</v>
      </c>
      <c r="V90" t="s">
        <v>1502</v>
      </c>
      <c r="W90" s="103">
        <v>0.2</v>
      </c>
      <c r="X90" s="22">
        <v>0</v>
      </c>
      <c r="Y90" s="34">
        <f>X90*(1/(INDEX(Currency!$A$1:$E$20,MATCH(U90,Currency!$A$1:$A$20,0),MATCH(V90,Currency!$A$1:$E$1,0))))*(Inflation!$B$24/(VLOOKUP(U90,Inflation!$A$1:$B$24,2,FALSE)))</f>
        <v>0</v>
      </c>
      <c r="Z90" s="22" t="s">
        <v>1855</v>
      </c>
      <c r="AA90" s="22" t="s">
        <v>1856</v>
      </c>
      <c r="AB90" s="22"/>
      <c r="AC90" s="105"/>
      <c r="AD90" s="104"/>
      <c r="AF90" s="95"/>
      <c r="AG90" s="82"/>
      <c r="AP90" s="3"/>
      <c r="AQ90" s="15"/>
      <c r="AR90" s="83"/>
      <c r="AS90" s="3"/>
      <c r="AT90" s="3"/>
      <c r="AV90" s="3"/>
      <c r="AW90" s="15"/>
      <c r="AX90" s="83"/>
      <c r="AY90" s="3"/>
      <c r="AZ90" s="3"/>
    </row>
    <row r="91" spans="1:52">
      <c r="A91" s="3">
        <v>374</v>
      </c>
      <c r="B91" s="15">
        <v>0.3</v>
      </c>
      <c r="C91" s="83">
        <v>4.0496133986395106</v>
      </c>
      <c r="D91" s="3" t="s">
        <v>1516</v>
      </c>
      <c r="F91" s="3">
        <v>400</v>
      </c>
      <c r="G91" s="15">
        <v>0.14000000000000001</v>
      </c>
      <c r="H91" s="83">
        <v>8.3035789685332269</v>
      </c>
      <c r="I91" s="3" t="s">
        <v>1526</v>
      </c>
      <c r="K91">
        <v>456</v>
      </c>
      <c r="L91">
        <v>2015</v>
      </c>
      <c r="M91" t="s">
        <v>1528</v>
      </c>
      <c r="N91" s="95">
        <v>0.53900000000000003</v>
      </c>
      <c r="O91">
        <v>17.100000000000001</v>
      </c>
      <c r="P91" s="34">
        <f>O91*(1/(INDEX(Currency!$A$1:$E$20,MATCH(L91,Currency!$A$1:$A$20,0),MATCH(M91,Currency!$A$1:$E$1,0))))*(Inflation!$B$23/(VLOOKUP(L91,Inflation!$A$1:$B$23,2,FALSE)))</f>
        <v>24.031494234000004</v>
      </c>
      <c r="Q91" s="16" t="s">
        <v>1507</v>
      </c>
      <c r="R91" t="s">
        <v>1840</v>
      </c>
      <c r="AF91" s="95"/>
      <c r="AG91" s="82"/>
      <c r="AP91" s="3"/>
      <c r="AQ91" s="15"/>
      <c r="AR91" s="83"/>
      <c r="AS91" s="3"/>
      <c r="AT91" s="3"/>
      <c r="AV91" s="3"/>
      <c r="AW91" s="15"/>
      <c r="AX91" s="83"/>
      <c r="AY91" s="3"/>
      <c r="AZ91" s="3"/>
    </row>
    <row r="92" spans="1:52">
      <c r="A92" s="3">
        <v>374</v>
      </c>
      <c r="B92" s="15">
        <v>0.1</v>
      </c>
      <c r="C92" s="83">
        <v>1.6198453594558044</v>
      </c>
      <c r="D92" s="3" t="s">
        <v>1516</v>
      </c>
      <c r="F92" s="3">
        <v>400</v>
      </c>
      <c r="G92" s="15">
        <v>0.16</v>
      </c>
      <c r="H92" s="83">
        <v>8.3035789685332269</v>
      </c>
      <c r="I92" s="3" t="s">
        <v>1526</v>
      </c>
      <c r="K92">
        <v>456</v>
      </c>
      <c r="L92">
        <v>2015</v>
      </c>
      <c r="M92" t="s">
        <v>1528</v>
      </c>
      <c r="N92" s="95">
        <v>0.56100000000000005</v>
      </c>
      <c r="O92">
        <v>22.5</v>
      </c>
      <c r="P92" s="34">
        <f>O92*(1/(INDEX(Currency!$A$1:$E$20,MATCH(L92,Currency!$A$1:$A$20,0),MATCH(M92,Currency!$A$1:$E$1,0))))*(Inflation!$B$23/(VLOOKUP(L92,Inflation!$A$1:$B$23,2,FALSE)))</f>
        <v>31.620387150000003</v>
      </c>
      <c r="Q92" s="16" t="s">
        <v>1507</v>
      </c>
      <c r="R92" t="s">
        <v>1840</v>
      </c>
      <c r="AF92" s="95"/>
      <c r="AG92" s="82"/>
      <c r="AP92" s="3"/>
      <c r="AQ92" s="15"/>
      <c r="AR92" s="83"/>
      <c r="AS92" s="3"/>
      <c r="AT92" s="3"/>
      <c r="AV92" s="3"/>
      <c r="AW92" s="15"/>
      <c r="AX92" s="83"/>
      <c r="AY92" s="3"/>
      <c r="AZ92" s="3"/>
    </row>
    <row r="93" spans="1:52">
      <c r="A93" s="3">
        <v>374</v>
      </c>
      <c r="B93" s="15">
        <v>0.3</v>
      </c>
      <c r="C93" s="83">
        <v>4.0496133986395106</v>
      </c>
      <c r="D93" s="3" t="s">
        <v>1516</v>
      </c>
      <c r="F93" s="3">
        <v>400</v>
      </c>
      <c r="G93" s="15">
        <v>0.18</v>
      </c>
      <c r="H93" s="83">
        <v>8.3035789685332269</v>
      </c>
      <c r="I93" s="3" t="s">
        <v>1526</v>
      </c>
      <c r="K93">
        <v>456</v>
      </c>
      <c r="L93">
        <v>2015</v>
      </c>
      <c r="M93" t="s">
        <v>1528</v>
      </c>
      <c r="N93" s="95">
        <v>0.60199999999999998</v>
      </c>
      <c r="O93">
        <v>29</v>
      </c>
      <c r="P93" s="34">
        <f>O93*(1/(INDEX(Currency!$A$1:$E$20,MATCH(L93,Currency!$A$1:$A$20,0),MATCH(M93,Currency!$A$1:$E$1,0))))*(Inflation!$B$23/(VLOOKUP(L93,Inflation!$A$1:$B$23,2,FALSE)))</f>
        <v>40.755165660000003</v>
      </c>
      <c r="Q93" s="16" t="s">
        <v>1507</v>
      </c>
      <c r="R93" t="s">
        <v>1840</v>
      </c>
      <c r="AF93" s="95"/>
      <c r="AG93" s="82"/>
      <c r="AP93" s="3"/>
      <c r="AQ93" s="15"/>
      <c r="AR93" s="83"/>
      <c r="AS93" s="3"/>
      <c r="AT93" s="3"/>
      <c r="AV93" s="3"/>
      <c r="AW93" s="15"/>
      <c r="AX93" s="83"/>
      <c r="AY93" s="3"/>
      <c r="AZ93" s="3"/>
    </row>
    <row r="94" spans="1:52">
      <c r="A94" s="3">
        <v>374</v>
      </c>
      <c r="B94" s="15">
        <v>0.1</v>
      </c>
      <c r="C94" s="83">
        <v>1.6198453594558044</v>
      </c>
      <c r="D94" s="3" t="s">
        <v>1516</v>
      </c>
      <c r="F94" s="1">
        <v>400</v>
      </c>
      <c r="G94" s="15">
        <v>0.02</v>
      </c>
      <c r="H94" s="83">
        <v>12.096571830702727</v>
      </c>
      <c r="I94" s="3" t="s">
        <v>1503</v>
      </c>
      <c r="K94">
        <v>456</v>
      </c>
      <c r="L94">
        <v>2015</v>
      </c>
      <c r="M94" t="s">
        <v>1528</v>
      </c>
      <c r="N94" s="95">
        <v>0.60199999999999998</v>
      </c>
      <c r="O94">
        <v>27.3</v>
      </c>
      <c r="P94" s="34">
        <f>O94*(1/(INDEX(Currency!$A$1:$E$20,MATCH(L94,Currency!$A$1:$A$20,0),MATCH(M94,Currency!$A$1:$E$1,0))))*(Inflation!$B$23/(VLOOKUP(L94,Inflation!$A$1:$B$23,2,FALSE)))</f>
        <v>38.366069742000008</v>
      </c>
      <c r="Q94" s="16" t="s">
        <v>1507</v>
      </c>
      <c r="R94" t="s">
        <v>1840</v>
      </c>
      <c r="AF94" s="95"/>
      <c r="AG94" s="82"/>
      <c r="AP94" s="3"/>
      <c r="AQ94" s="15"/>
      <c r="AR94" s="83"/>
      <c r="AS94" s="3"/>
      <c r="AT94" s="3"/>
      <c r="AV94" s="1"/>
      <c r="AW94" s="15"/>
      <c r="AX94" s="83"/>
      <c r="AY94" s="3"/>
      <c r="AZ94" s="3"/>
    </row>
    <row r="95" spans="1:52">
      <c r="A95" s="3">
        <v>374</v>
      </c>
      <c r="B95" s="15">
        <v>0.3</v>
      </c>
      <c r="C95" s="83">
        <v>4.0496133986395106</v>
      </c>
      <c r="D95" s="3" t="s">
        <v>1516</v>
      </c>
      <c r="F95" s="3">
        <v>400</v>
      </c>
      <c r="G95" s="15">
        <v>0.04</v>
      </c>
      <c r="H95" s="83">
        <v>12.096571830702727</v>
      </c>
      <c r="I95" s="3" t="s">
        <v>1503</v>
      </c>
      <c r="K95">
        <v>456</v>
      </c>
      <c r="L95">
        <v>2015</v>
      </c>
      <c r="M95" t="s">
        <v>1528</v>
      </c>
      <c r="N95" s="95">
        <v>0.45200000000000001</v>
      </c>
      <c r="O95">
        <v>8.1</v>
      </c>
      <c r="P95" s="34">
        <f>O95*(1/(INDEX(Currency!$A$1:$E$20,MATCH(L95,Currency!$A$1:$A$20,0),MATCH(M95,Currency!$A$1:$E$1,0))))*(Inflation!$B$23/(VLOOKUP(L95,Inflation!$A$1:$B$23,2,FALSE)))</f>
        <v>11.383339374</v>
      </c>
      <c r="Q95" s="16" t="s">
        <v>1507</v>
      </c>
      <c r="R95" t="s">
        <v>1841</v>
      </c>
      <c r="AF95" s="95"/>
      <c r="AG95" s="82"/>
      <c r="AP95" s="3"/>
      <c r="AQ95" s="15"/>
      <c r="AR95" s="83"/>
      <c r="AS95" s="3"/>
      <c r="AT95" s="3"/>
      <c r="AV95" s="3"/>
      <c r="AW95" s="15"/>
      <c r="AX95" s="83"/>
      <c r="AY95" s="3"/>
      <c r="AZ95" s="3"/>
    </row>
    <row r="96" spans="1:52">
      <c r="A96" s="19">
        <v>133</v>
      </c>
      <c r="B96" s="15">
        <v>0.05</v>
      </c>
      <c r="C96" s="83">
        <v>1.4953179009112811</v>
      </c>
      <c r="D96" s="19" t="s">
        <v>1507</v>
      </c>
      <c r="F96" s="3">
        <v>400</v>
      </c>
      <c r="G96" s="15">
        <v>0.06</v>
      </c>
      <c r="H96" s="83">
        <v>12.609138433698604</v>
      </c>
      <c r="I96" s="3" t="s">
        <v>1503</v>
      </c>
      <c r="K96">
        <v>456</v>
      </c>
      <c r="L96">
        <v>2015</v>
      </c>
      <c r="M96" t="s">
        <v>1528</v>
      </c>
      <c r="N96" s="95">
        <v>0.45400000000000001</v>
      </c>
      <c r="O96">
        <v>11.8</v>
      </c>
      <c r="P96" s="34">
        <f>O96*(1/(INDEX(Currency!$A$1:$E$20,MATCH(L96,Currency!$A$1:$A$20,0),MATCH(M96,Currency!$A$1:$E$1,0))))*(Inflation!$B$23/(VLOOKUP(L96,Inflation!$A$1:$B$23,2,FALSE)))</f>
        <v>16.583136372000006</v>
      </c>
      <c r="Q96" s="16" t="s">
        <v>1507</v>
      </c>
      <c r="R96" t="s">
        <v>1841</v>
      </c>
      <c r="AF96" s="95"/>
      <c r="AG96" s="82"/>
      <c r="AP96" s="19"/>
      <c r="AQ96" s="15"/>
      <c r="AR96" s="83"/>
      <c r="AS96" s="19"/>
      <c r="AT96" s="19"/>
      <c r="AV96" s="3"/>
      <c r="AW96" s="15"/>
      <c r="AX96" s="83"/>
      <c r="AY96" s="3"/>
      <c r="AZ96" s="3"/>
    </row>
    <row r="97" spans="1:52">
      <c r="A97" s="19">
        <v>133</v>
      </c>
      <c r="B97" s="15">
        <v>0.1</v>
      </c>
      <c r="C97" s="83">
        <v>2.5099979051010792</v>
      </c>
      <c r="D97" s="19" t="s">
        <v>1507</v>
      </c>
      <c r="F97" s="3">
        <v>400</v>
      </c>
      <c r="G97" s="15">
        <v>0.08</v>
      </c>
      <c r="H97" s="83">
        <v>12.71165175429778</v>
      </c>
      <c r="I97" s="3" t="s">
        <v>1503</v>
      </c>
      <c r="K97">
        <v>456</v>
      </c>
      <c r="L97">
        <v>2015</v>
      </c>
      <c r="M97" t="s">
        <v>1528</v>
      </c>
      <c r="N97" s="95">
        <v>0.52800000000000002</v>
      </c>
      <c r="O97">
        <v>5.8</v>
      </c>
      <c r="P97" s="34">
        <f>O97*(1/(INDEX(Currency!$A$1:$E$20,MATCH(L97,Currency!$A$1:$A$20,0),MATCH(M97,Currency!$A$1:$E$1,0))))*(Inflation!$B$23/(VLOOKUP(L97,Inflation!$A$1:$B$23,2,FALSE)))</f>
        <v>8.1510331320000002</v>
      </c>
      <c r="Q97" s="16" t="s">
        <v>1507</v>
      </c>
      <c r="R97" t="s">
        <v>1841</v>
      </c>
      <c r="AF97" s="95"/>
      <c r="AG97" s="82"/>
      <c r="AP97" s="19"/>
      <c r="AQ97" s="15"/>
      <c r="AR97" s="83"/>
      <c r="AS97" s="19"/>
      <c r="AT97" s="19"/>
      <c r="AV97" s="3"/>
      <c r="AW97" s="15"/>
      <c r="AX97" s="83"/>
      <c r="AY97" s="3"/>
      <c r="AZ97" s="3"/>
    </row>
    <row r="98" spans="1:52">
      <c r="A98" s="19">
        <v>133</v>
      </c>
      <c r="B98" s="15">
        <v>0.15</v>
      </c>
      <c r="C98" s="83">
        <v>3.1401675919136904</v>
      </c>
      <c r="D98" s="19" t="s">
        <v>1507</v>
      </c>
      <c r="F98" s="3">
        <v>400</v>
      </c>
      <c r="G98" s="15">
        <v>0.1</v>
      </c>
      <c r="H98" s="83">
        <v>12.916678395496129</v>
      </c>
      <c r="I98" s="3" t="s">
        <v>1503</v>
      </c>
      <c r="K98">
        <v>456</v>
      </c>
      <c r="L98">
        <v>2015</v>
      </c>
      <c r="M98" t="s">
        <v>1528</v>
      </c>
      <c r="N98" s="95">
        <v>0.53</v>
      </c>
      <c r="O98">
        <v>10.4</v>
      </c>
      <c r="P98" s="34">
        <f>O98*(1/(INDEX(Currency!$A$1:$E$20,MATCH(L98,Currency!$A$1:$A$20,0),MATCH(M98,Currency!$A$1:$E$1,0))))*(Inflation!$B$23/(VLOOKUP(L98,Inflation!$A$1:$B$23,2,FALSE)))</f>
        <v>14.615645616000004</v>
      </c>
      <c r="Q98" s="16" t="s">
        <v>1507</v>
      </c>
      <c r="R98" t="s">
        <v>1841</v>
      </c>
      <c r="AF98" s="95"/>
      <c r="AG98" s="82"/>
      <c r="AP98" s="19"/>
      <c r="AQ98" s="15"/>
      <c r="AR98" s="83"/>
      <c r="AS98" s="19"/>
      <c r="AT98" s="19"/>
      <c r="AV98" s="3"/>
      <c r="AW98" s="15"/>
      <c r="AX98" s="83"/>
      <c r="AY98" s="3"/>
      <c r="AZ98" s="3"/>
    </row>
    <row r="99" spans="1:52">
      <c r="A99" s="19">
        <v>133</v>
      </c>
      <c r="B99" s="15">
        <v>0.2</v>
      </c>
      <c r="C99" s="83">
        <v>3.5674012778883419</v>
      </c>
      <c r="D99" s="19" t="s">
        <v>1507</v>
      </c>
      <c r="F99" s="3">
        <v>400</v>
      </c>
      <c r="G99" s="15">
        <v>0.12</v>
      </c>
      <c r="H99" s="83">
        <v>13.019191716095305</v>
      </c>
      <c r="I99" s="3" t="s">
        <v>1503</v>
      </c>
      <c r="K99">
        <v>456</v>
      </c>
      <c r="L99">
        <v>2015</v>
      </c>
      <c r="M99" t="s">
        <v>1528</v>
      </c>
      <c r="N99" s="95">
        <v>0.58899999999999997</v>
      </c>
      <c r="O99">
        <v>10</v>
      </c>
      <c r="P99" s="34">
        <f>O99*(1/(INDEX(Currency!$A$1:$E$20,MATCH(L99,Currency!$A$1:$A$20,0),MATCH(M99,Currency!$A$1:$E$1,0))))*(Inflation!$B$23/(VLOOKUP(L99,Inflation!$A$1:$B$23,2,FALSE)))</f>
        <v>14.053505400000001</v>
      </c>
      <c r="Q99" s="16" t="s">
        <v>1507</v>
      </c>
      <c r="R99" t="s">
        <v>1841</v>
      </c>
      <c r="AF99" s="95"/>
      <c r="AG99" s="82"/>
      <c r="AP99" s="19"/>
      <c r="AQ99" s="15"/>
      <c r="AR99" s="83"/>
      <c r="AS99" s="19"/>
      <c r="AT99" s="19"/>
      <c r="AV99" s="3"/>
      <c r="AW99" s="15"/>
      <c r="AX99" s="83"/>
      <c r="AY99" s="3"/>
      <c r="AZ99" s="3"/>
    </row>
    <row r="100" spans="1:52">
      <c r="A100" s="19">
        <v>133</v>
      </c>
      <c r="B100" s="15">
        <v>5.3999999999999999E-2</v>
      </c>
      <c r="C100" s="83">
        <v>3.0333591704200273</v>
      </c>
      <c r="D100" s="19" t="s">
        <v>1509</v>
      </c>
      <c r="F100" s="3">
        <v>400</v>
      </c>
      <c r="G100" s="15">
        <v>0.14000000000000001</v>
      </c>
      <c r="H100" s="83">
        <v>13.121705036694483</v>
      </c>
      <c r="I100" s="3" t="s">
        <v>1503</v>
      </c>
      <c r="K100">
        <v>456</v>
      </c>
      <c r="L100">
        <v>2015</v>
      </c>
      <c r="M100" t="s">
        <v>1528</v>
      </c>
      <c r="N100" s="95">
        <v>0.59</v>
      </c>
      <c r="O100">
        <v>14.6</v>
      </c>
      <c r="P100" s="34">
        <f>O100*(1/(INDEX(Currency!$A$1:$E$20,MATCH(L100,Currency!$A$1:$A$20,0),MATCH(M100,Currency!$A$1:$E$1,0))))*(Inflation!$B$23/(VLOOKUP(L100,Inflation!$A$1:$B$23,2,FALSE)))</f>
        <v>20.518117884000002</v>
      </c>
      <c r="Q100" s="16" t="s">
        <v>1507</v>
      </c>
      <c r="R100" t="s">
        <v>1841</v>
      </c>
      <c r="AF100" s="95"/>
      <c r="AG100" s="82"/>
      <c r="AH100" s="82"/>
      <c r="AP100" s="19"/>
      <c r="AQ100" s="15"/>
      <c r="AR100" s="83"/>
      <c r="AS100" s="19"/>
      <c r="AT100" s="19"/>
      <c r="AV100" s="3"/>
      <c r="AW100" s="15"/>
      <c r="AX100" s="83"/>
      <c r="AY100" s="3"/>
      <c r="AZ100" s="3"/>
    </row>
    <row r="101" spans="1:52">
      <c r="A101" s="19">
        <v>133</v>
      </c>
      <c r="B101" s="15">
        <v>7.4999999999999997E-2</v>
      </c>
      <c r="C101" s="83">
        <v>4.0694008589085584</v>
      </c>
      <c r="D101" s="19" t="s">
        <v>1509</v>
      </c>
      <c r="F101" s="3">
        <v>400</v>
      </c>
      <c r="G101" s="15">
        <v>0.16</v>
      </c>
      <c r="H101" s="83">
        <v>13.121705036694483</v>
      </c>
      <c r="I101" s="3" t="s">
        <v>1503</v>
      </c>
      <c r="K101">
        <v>461</v>
      </c>
      <c r="L101">
        <v>2009</v>
      </c>
      <c r="M101" t="s">
        <v>1502</v>
      </c>
      <c r="N101" s="95">
        <v>0.18899999999999997</v>
      </c>
      <c r="O101">
        <v>10.8</v>
      </c>
      <c r="P101" s="34">
        <f>O101*(1/(INDEX(Currency!$A$1:$E$20,MATCH(L101,Currency!$A$1:$A$20,0),MATCH(M101,Currency!$A$1:$E$1,0))))*(Inflation!$B$23/(VLOOKUP(L101,Inflation!$A$1:$B$23,2,FALSE)))</f>
        <v>12.140623966486608</v>
      </c>
      <c r="Q101" s="16" t="s">
        <v>1894</v>
      </c>
      <c r="R101" t="s">
        <v>1895</v>
      </c>
      <c r="AP101" s="19"/>
      <c r="AQ101" s="15"/>
      <c r="AR101" s="83"/>
      <c r="AS101" s="19"/>
      <c r="AT101" s="19"/>
      <c r="AV101" s="3"/>
      <c r="AW101" s="15"/>
      <c r="AX101" s="83"/>
      <c r="AY101" s="3"/>
      <c r="AZ101" s="3"/>
    </row>
    <row r="102" spans="1:52">
      <c r="A102" s="19">
        <v>133</v>
      </c>
      <c r="B102" s="15">
        <v>0.15</v>
      </c>
      <c r="C102" s="83">
        <v>2.4672745365036142</v>
      </c>
      <c r="D102" s="19" t="s">
        <v>1510</v>
      </c>
      <c r="F102" s="3">
        <v>400</v>
      </c>
      <c r="G102" s="15">
        <v>0.18</v>
      </c>
      <c r="H102" s="83">
        <v>13.121705036694483</v>
      </c>
      <c r="I102" s="3" t="s">
        <v>1503</v>
      </c>
      <c r="K102">
        <v>461</v>
      </c>
      <c r="L102">
        <v>2009</v>
      </c>
      <c r="M102" t="s">
        <v>1502</v>
      </c>
      <c r="N102" s="95">
        <v>0.18899999999999997</v>
      </c>
      <c r="O102">
        <v>12.1</v>
      </c>
      <c r="P102" s="34">
        <f>O102*(1/(INDEX(Currency!$A$1:$E$20,MATCH(L102,Currency!$A$1:$A$20,0),MATCH(M102,Currency!$A$1:$E$1,0))))*(Inflation!$B$23/(VLOOKUP(L102,Inflation!$A$1:$B$23,2,FALSE)))</f>
        <v>13.601995369859996</v>
      </c>
      <c r="Q102" s="16" t="s">
        <v>1894</v>
      </c>
      <c r="R102" t="s">
        <v>1896</v>
      </c>
      <c r="AP102" s="19"/>
      <c r="AQ102" s="15"/>
      <c r="AR102" s="83"/>
      <c r="AS102" s="19"/>
      <c r="AT102" s="19"/>
      <c r="AV102" s="3"/>
      <c r="AW102" s="15"/>
      <c r="AX102" s="83"/>
      <c r="AY102" s="3"/>
      <c r="AZ102" s="3"/>
    </row>
    <row r="103" spans="1:52">
      <c r="A103" s="19">
        <v>133</v>
      </c>
      <c r="B103" s="15">
        <v>0.2</v>
      </c>
      <c r="C103" s="83">
        <v>3.3003802241541846</v>
      </c>
      <c r="D103" s="19" t="s">
        <v>1510</v>
      </c>
      <c r="F103" s="3">
        <v>400</v>
      </c>
      <c r="G103" s="15">
        <v>0.02</v>
      </c>
      <c r="H103" s="83">
        <v>9.4312254951241581</v>
      </c>
      <c r="I103" s="3" t="s">
        <v>1503</v>
      </c>
      <c r="K103">
        <v>461</v>
      </c>
      <c r="L103">
        <v>2009</v>
      </c>
      <c r="M103" t="s">
        <v>1502</v>
      </c>
      <c r="N103" s="96">
        <v>0.189</v>
      </c>
      <c r="O103">
        <v>15.8</v>
      </c>
      <c r="P103" s="34">
        <f>O103*(1/(INDEX(Currency!$A$1:$E$20,MATCH(L103,Currency!$A$1:$A$20,0),MATCH(M103,Currency!$A$1:$E$1,0))))*(Inflation!$B$23/(VLOOKUP(L103,Inflation!$A$1:$B$23,2,FALSE)))</f>
        <v>17.761283210230406</v>
      </c>
      <c r="Q103" s="16" t="s">
        <v>1894</v>
      </c>
      <c r="R103" t="s">
        <v>1897</v>
      </c>
      <c r="AP103" s="19"/>
      <c r="AQ103" s="15"/>
      <c r="AR103" s="83"/>
      <c r="AS103" s="19"/>
      <c r="AT103" s="19"/>
      <c r="AV103" s="3"/>
      <c r="AW103" s="15"/>
      <c r="AX103" s="83"/>
      <c r="AY103" s="3"/>
      <c r="AZ103" s="3"/>
    </row>
    <row r="104" spans="1:52">
      <c r="A104" s="19">
        <v>133</v>
      </c>
      <c r="B104" s="15">
        <v>0.25</v>
      </c>
      <c r="C104" s="83">
        <v>3.6208054886351739</v>
      </c>
      <c r="D104" s="19" t="s">
        <v>1510</v>
      </c>
      <c r="F104" s="3">
        <v>400</v>
      </c>
      <c r="G104" s="15">
        <v>0.04</v>
      </c>
      <c r="H104" s="83">
        <v>10.148818739318388</v>
      </c>
      <c r="I104" s="3" t="s">
        <v>1503</v>
      </c>
      <c r="K104">
        <v>461</v>
      </c>
      <c r="L104">
        <v>2009</v>
      </c>
      <c r="M104" t="s">
        <v>1502</v>
      </c>
      <c r="N104" s="96">
        <v>0.375</v>
      </c>
      <c r="O104">
        <v>13.4</v>
      </c>
      <c r="P104" s="34">
        <f>O104*(1/(INDEX(Currency!$A$1:$E$20,MATCH(L104,Currency!$A$1:$A$20,0),MATCH(M104,Currency!$A$1:$E$1,0))))*(Inflation!$B$23/(VLOOKUP(L104,Inflation!$A$1:$B$23,2,FALSE)))</f>
        <v>15.063366773233383</v>
      </c>
      <c r="Q104" s="16" t="s">
        <v>1894</v>
      </c>
      <c r="R104" t="s">
        <v>1895</v>
      </c>
      <c r="AP104" s="19"/>
      <c r="AQ104" s="15"/>
      <c r="AR104" s="83"/>
      <c r="AS104" s="19"/>
      <c r="AT104" s="19"/>
      <c r="AV104" s="3"/>
      <c r="AW104" s="15"/>
      <c r="AX104" s="83"/>
      <c r="AY104" s="3"/>
      <c r="AZ104" s="3"/>
    </row>
    <row r="105" spans="1:52">
      <c r="A105" s="19">
        <v>133</v>
      </c>
      <c r="B105" s="15">
        <v>0.02</v>
      </c>
      <c r="C105" s="83">
        <v>0.36314863307845402</v>
      </c>
      <c r="D105" s="19" t="s">
        <v>1508</v>
      </c>
      <c r="F105" s="3">
        <v>400</v>
      </c>
      <c r="G105" s="15">
        <v>0.06</v>
      </c>
      <c r="H105" s="83">
        <v>10.148818739318388</v>
      </c>
      <c r="I105" s="3" t="s">
        <v>1503</v>
      </c>
      <c r="K105">
        <v>461</v>
      </c>
      <c r="L105">
        <v>2009</v>
      </c>
      <c r="M105" t="s">
        <v>1502</v>
      </c>
      <c r="N105" s="96">
        <v>0.375</v>
      </c>
      <c r="O105">
        <v>14.6</v>
      </c>
      <c r="P105" s="34">
        <f>O105*(1/(INDEX(Currency!$A$1:$E$20,MATCH(L105,Currency!$A$1:$A$20,0),MATCH(M105,Currency!$A$1:$E$1,0))))*(Inflation!$B$23/(VLOOKUP(L105,Inflation!$A$1:$B$23,2,FALSE)))</f>
        <v>16.412324991731893</v>
      </c>
      <c r="Q105" s="16" t="s">
        <v>1894</v>
      </c>
      <c r="R105" t="s">
        <v>1896</v>
      </c>
      <c r="AP105" s="19"/>
      <c r="AQ105" s="15"/>
      <c r="AR105" s="83"/>
      <c r="AS105" s="19"/>
      <c r="AT105" s="19"/>
      <c r="AV105" s="3"/>
      <c r="AW105" s="15"/>
      <c r="AX105" s="83"/>
      <c r="AY105" s="3"/>
      <c r="AZ105" s="3"/>
    </row>
    <row r="106" spans="1:52">
      <c r="A106" s="19">
        <v>133</v>
      </c>
      <c r="B106" s="15">
        <v>0.105</v>
      </c>
      <c r="C106" s="83">
        <v>2.8945082224782657</v>
      </c>
      <c r="D106" s="19" t="s">
        <v>1511</v>
      </c>
      <c r="F106" s="3">
        <v>400</v>
      </c>
      <c r="G106" s="15">
        <v>0.08</v>
      </c>
      <c r="H106" s="83">
        <v>10.148818739318388</v>
      </c>
      <c r="I106" s="3" t="s">
        <v>1503</v>
      </c>
      <c r="K106">
        <v>461</v>
      </c>
      <c r="L106">
        <v>2009</v>
      </c>
      <c r="M106" t="s">
        <v>1502</v>
      </c>
      <c r="N106" s="96">
        <v>0.36299999999999999</v>
      </c>
      <c r="O106">
        <v>21.1</v>
      </c>
      <c r="P106" s="34">
        <f>O106*(1/(INDEX(Currency!$A$1:$E$20,MATCH(L106,Currency!$A$1:$A$20,0),MATCH(M106,Currency!$A$1:$E$1,0))))*(Inflation!$B$23/(VLOOKUP(L106,Inflation!$A$1:$B$23,2,FALSE)))</f>
        <v>23.719182008598835</v>
      </c>
      <c r="Q106" s="16" t="s">
        <v>1894</v>
      </c>
      <c r="R106" t="s">
        <v>1897</v>
      </c>
      <c r="AP106" s="19"/>
      <c r="AQ106" s="15"/>
      <c r="AR106" s="83"/>
      <c r="AS106" s="19"/>
      <c r="AT106" s="19"/>
      <c r="AV106" s="3"/>
      <c r="AW106" s="15"/>
      <c r="AX106" s="83"/>
      <c r="AY106" s="3"/>
      <c r="AZ106" s="3"/>
    </row>
    <row r="107" spans="1:52">
      <c r="A107" s="19">
        <v>133</v>
      </c>
      <c r="B107" s="15">
        <v>0.105</v>
      </c>
      <c r="C107" s="83">
        <v>2.5527212736985443</v>
      </c>
      <c r="D107" s="19" t="s">
        <v>1511</v>
      </c>
      <c r="F107" s="3">
        <v>400</v>
      </c>
      <c r="G107" s="15">
        <v>0.1</v>
      </c>
      <c r="H107" s="83">
        <v>10.148818739318388</v>
      </c>
      <c r="I107" s="3" t="s">
        <v>1503</v>
      </c>
      <c r="K107">
        <v>461</v>
      </c>
      <c r="L107">
        <v>2009</v>
      </c>
      <c r="M107" t="s">
        <v>1502</v>
      </c>
      <c r="N107" s="96">
        <v>0.55899999999999994</v>
      </c>
      <c r="O107">
        <v>15.9</v>
      </c>
      <c r="P107" s="34">
        <f>O107*(1/(INDEX(Currency!$A$1:$E$20,MATCH(L107,Currency!$A$1:$A$20,0),MATCH(M107,Currency!$A$1:$E$1,0))))*(Inflation!$B$23/(VLOOKUP(L107,Inflation!$A$1:$B$23,2,FALSE)))</f>
        <v>17.873696395105284</v>
      </c>
      <c r="Q107" s="16" t="s">
        <v>1894</v>
      </c>
      <c r="R107" t="s">
        <v>1895</v>
      </c>
      <c r="AP107" s="19"/>
      <c r="AQ107" s="15"/>
      <c r="AR107" s="83"/>
      <c r="AS107" s="19"/>
      <c r="AT107" s="19"/>
      <c r="AV107" s="3"/>
      <c r="AW107" s="15"/>
      <c r="AX107" s="83"/>
      <c r="AY107" s="3"/>
      <c r="AZ107" s="3"/>
    </row>
    <row r="108" spans="1:52">
      <c r="A108" s="19">
        <v>133</v>
      </c>
      <c r="B108" s="15">
        <v>0.28299999999999997</v>
      </c>
      <c r="C108" s="83">
        <v>2.1254875877238923</v>
      </c>
      <c r="D108" s="19" t="s">
        <v>1512</v>
      </c>
      <c r="F108" s="3">
        <v>400</v>
      </c>
      <c r="G108" s="15">
        <v>0.12</v>
      </c>
      <c r="H108" s="83">
        <v>10.148818739318388</v>
      </c>
      <c r="I108" s="3" t="s">
        <v>1503</v>
      </c>
      <c r="K108">
        <v>461</v>
      </c>
      <c r="L108">
        <v>2009</v>
      </c>
      <c r="M108" t="s">
        <v>1502</v>
      </c>
      <c r="N108" s="96">
        <v>0.55299999999999994</v>
      </c>
      <c r="O108">
        <v>17.5</v>
      </c>
      <c r="P108" s="34">
        <f>O108*(1/(INDEX(Currency!$A$1:$E$20,MATCH(L108,Currency!$A$1:$A$20,0),MATCH(M108,Currency!$A$1:$E$1,0))))*(Inflation!$B$23/(VLOOKUP(L108,Inflation!$A$1:$B$23,2,FALSE)))</f>
        <v>19.672307353103299</v>
      </c>
      <c r="Q108" s="16" t="s">
        <v>1894</v>
      </c>
      <c r="R108" t="s">
        <v>1896</v>
      </c>
      <c r="AP108" s="19"/>
      <c r="AQ108" s="15"/>
      <c r="AR108" s="83"/>
      <c r="AS108" s="19"/>
      <c r="AT108" s="19"/>
      <c r="AV108" s="3"/>
      <c r="AW108" s="15"/>
      <c r="AX108" s="83"/>
      <c r="AY108" s="3"/>
      <c r="AZ108" s="3"/>
    </row>
    <row r="109" spans="1:52">
      <c r="A109" s="19">
        <v>133</v>
      </c>
      <c r="B109" s="15">
        <v>0.28299999999999997</v>
      </c>
      <c r="C109" s="83">
        <v>1.1535309521315598</v>
      </c>
      <c r="D109" s="19" t="s">
        <v>1512</v>
      </c>
      <c r="F109" s="3">
        <v>400</v>
      </c>
      <c r="G109" s="15">
        <v>0.14000000000000001</v>
      </c>
      <c r="H109" s="83">
        <v>10.148818739318388</v>
      </c>
      <c r="I109" s="3" t="s">
        <v>1503</v>
      </c>
      <c r="K109">
        <v>461</v>
      </c>
      <c r="L109">
        <v>2009</v>
      </c>
      <c r="M109" t="s">
        <v>1502</v>
      </c>
      <c r="N109" s="96">
        <v>0.53299999999999992</v>
      </c>
      <c r="O109">
        <v>26.3</v>
      </c>
      <c r="P109" s="34">
        <f>O109*(1/(INDEX(Currency!$A$1:$E$20,MATCH(L109,Currency!$A$1:$A$20,0),MATCH(M109,Currency!$A$1:$E$1,0))))*(Inflation!$B$23/(VLOOKUP(L109,Inflation!$A$1:$B$23,2,FALSE)))</f>
        <v>29.564667622092387</v>
      </c>
      <c r="Q109" s="16" t="s">
        <v>1894</v>
      </c>
      <c r="R109" t="s">
        <v>1897</v>
      </c>
      <c r="AP109" s="19"/>
      <c r="AQ109" s="15"/>
      <c r="AR109" s="83"/>
      <c r="AS109" s="19"/>
      <c r="AT109" s="19"/>
      <c r="AV109" s="3"/>
      <c r="AW109" s="15"/>
      <c r="AX109" s="83"/>
      <c r="AY109" s="3"/>
      <c r="AZ109" s="3"/>
    </row>
    <row r="110" spans="1:52">
      <c r="A110" s="19">
        <v>133</v>
      </c>
      <c r="B110" s="15">
        <v>0.112</v>
      </c>
      <c r="C110" s="83">
        <v>0.51268042316958207</v>
      </c>
      <c r="D110" s="19" t="s">
        <v>1513</v>
      </c>
      <c r="F110" s="3">
        <v>400</v>
      </c>
      <c r="G110" s="15">
        <v>0.16</v>
      </c>
      <c r="H110" s="83">
        <v>10.148818739318388</v>
      </c>
      <c r="I110" s="3" t="s">
        <v>1503</v>
      </c>
      <c r="K110">
        <v>461</v>
      </c>
      <c r="L110">
        <v>2009</v>
      </c>
      <c r="M110" t="s">
        <v>1502</v>
      </c>
      <c r="N110" s="96">
        <v>0.72699999999999998</v>
      </c>
      <c r="O110">
        <v>18.7</v>
      </c>
      <c r="P110" s="34">
        <f>O110*(1/(INDEX(Currency!$A$1:$E$20,MATCH(L110,Currency!$A$1:$A$20,0),MATCH(M110,Currency!$A$1:$E$1,0))))*(Inflation!$B$23/(VLOOKUP(L110,Inflation!$A$1:$B$23,2,FALSE)))</f>
        <v>21.021265571601809</v>
      </c>
      <c r="Q110" s="16" t="s">
        <v>1894</v>
      </c>
      <c r="R110" t="s">
        <v>1895</v>
      </c>
      <c r="AP110" s="19"/>
      <c r="AQ110" s="15"/>
      <c r="AR110" s="83"/>
      <c r="AS110" s="19"/>
      <c r="AT110" s="19"/>
      <c r="AV110" s="3"/>
      <c r="AW110" s="15"/>
      <c r="AX110" s="83"/>
      <c r="AY110" s="3"/>
      <c r="AZ110" s="3"/>
    </row>
    <row r="111" spans="1:52">
      <c r="A111" s="19">
        <v>133</v>
      </c>
      <c r="B111" s="15">
        <v>0.224</v>
      </c>
      <c r="C111" s="83">
        <v>0.89719074054676873</v>
      </c>
      <c r="D111" s="19" t="s">
        <v>1513</v>
      </c>
      <c r="F111" s="3">
        <v>400</v>
      </c>
      <c r="G111" s="15">
        <v>0.18</v>
      </c>
      <c r="H111" s="83">
        <v>10.35384538051674</v>
      </c>
      <c r="I111" s="3" t="s">
        <v>1503</v>
      </c>
      <c r="K111">
        <v>461</v>
      </c>
      <c r="L111">
        <v>2009</v>
      </c>
      <c r="M111" t="s">
        <v>1502</v>
      </c>
      <c r="N111" s="96">
        <v>0.71900000000000008</v>
      </c>
      <c r="O111">
        <v>20.8</v>
      </c>
      <c r="P111" s="34">
        <f>O111*(1/(INDEX(Currency!$A$1:$E$20,MATCH(L111,Currency!$A$1:$A$20,0),MATCH(M111,Currency!$A$1:$E$1,0))))*(Inflation!$B$23/(VLOOKUP(L111,Inflation!$A$1:$B$23,2,FALSE)))</f>
        <v>23.381942453974208</v>
      </c>
      <c r="Q111" s="16" t="s">
        <v>1894</v>
      </c>
      <c r="R111" t="s">
        <v>1896</v>
      </c>
      <c r="AP111" s="19"/>
      <c r="AQ111" s="15"/>
      <c r="AR111" s="83"/>
      <c r="AS111" s="19"/>
      <c r="AT111" s="19"/>
      <c r="AV111" s="3"/>
      <c r="AW111" s="15"/>
      <c r="AX111" s="83"/>
      <c r="AY111" s="3"/>
      <c r="AZ111" s="3"/>
    </row>
    <row r="112" spans="1:52">
      <c r="A112" s="19">
        <v>133</v>
      </c>
      <c r="B112" s="15">
        <v>9.7000000000000003E-2</v>
      </c>
      <c r="C112" s="83">
        <v>0.41655284382528551</v>
      </c>
      <c r="D112" s="19" t="s">
        <v>1514</v>
      </c>
      <c r="F112" s="1">
        <v>400</v>
      </c>
      <c r="G112" s="15">
        <v>0.02</v>
      </c>
      <c r="H112" s="83">
        <v>14.864431486880468</v>
      </c>
      <c r="I112" s="3" t="s">
        <v>1527</v>
      </c>
      <c r="K112">
        <v>461</v>
      </c>
      <c r="L112">
        <v>2009</v>
      </c>
      <c r="M112" t="s">
        <v>1502</v>
      </c>
      <c r="N112" s="96">
        <v>0.66799999999999993</v>
      </c>
      <c r="O112">
        <v>32.4</v>
      </c>
      <c r="P112" s="34">
        <f>O112*(1/(INDEX(Currency!$A$1:$E$20,MATCH(L112,Currency!$A$1:$A$20,0),MATCH(M112,Currency!$A$1:$E$1,0))))*(Inflation!$B$23/(VLOOKUP(L112,Inflation!$A$1:$B$23,2,FALSE)))</f>
        <v>36.421871899459823</v>
      </c>
      <c r="Q112" s="16" t="s">
        <v>1894</v>
      </c>
      <c r="R112" t="s">
        <v>1897</v>
      </c>
      <c r="AP112" s="19"/>
      <c r="AQ112" s="15"/>
      <c r="AR112" s="83"/>
      <c r="AS112" s="19"/>
      <c r="AT112" s="19"/>
      <c r="AV112" s="1"/>
      <c r="AW112" s="15"/>
      <c r="AX112" s="83"/>
      <c r="AY112" s="3"/>
      <c r="AZ112" s="3"/>
    </row>
    <row r="113" spans="1:52">
      <c r="A113" s="19">
        <v>133</v>
      </c>
      <c r="B113" s="15">
        <v>0.19600000000000001</v>
      </c>
      <c r="C113" s="83">
        <v>0.34178694877972143</v>
      </c>
      <c r="D113" s="19" t="s">
        <v>1514</v>
      </c>
      <c r="F113" s="3">
        <v>400</v>
      </c>
      <c r="G113" s="15">
        <v>0.04</v>
      </c>
      <c r="H113" s="83">
        <v>14.864431486880468</v>
      </c>
      <c r="I113" s="3" t="s">
        <v>1527</v>
      </c>
      <c r="K113">
        <v>461</v>
      </c>
      <c r="L113">
        <v>2009</v>
      </c>
      <c r="M113" t="s">
        <v>1502</v>
      </c>
      <c r="N113" s="96">
        <v>0.83099999999999996</v>
      </c>
      <c r="O113">
        <v>24.3</v>
      </c>
      <c r="P113" s="34">
        <f>O113*(1/(INDEX(Currency!$A$1:$E$20,MATCH(L113,Currency!$A$1:$A$20,0),MATCH(M113,Currency!$A$1:$E$1,0))))*(Inflation!$B$23/(VLOOKUP(L113,Inflation!$A$1:$B$23,2,FALSE)))</f>
        <v>27.316403924594866</v>
      </c>
      <c r="Q113" s="16" t="s">
        <v>1894</v>
      </c>
      <c r="R113" t="s">
        <v>1895</v>
      </c>
      <c r="AP113" s="19"/>
      <c r="AQ113" s="15"/>
      <c r="AR113" s="83"/>
      <c r="AS113" s="19"/>
      <c r="AT113" s="19"/>
      <c r="AV113" s="3"/>
      <c r="AW113" s="15"/>
      <c r="AX113" s="83"/>
      <c r="AY113" s="3"/>
      <c r="AZ113" s="3"/>
    </row>
    <row r="114" spans="1:52">
      <c r="A114" s="19">
        <v>133</v>
      </c>
      <c r="B114" s="15">
        <v>9.7000000000000003E-2</v>
      </c>
      <c r="C114" s="83">
        <v>0.59812716036451252</v>
      </c>
      <c r="D114" s="19" t="s">
        <v>1515</v>
      </c>
      <c r="F114" s="3">
        <v>400</v>
      </c>
      <c r="G114" s="15">
        <v>0.06</v>
      </c>
      <c r="H114" s="83">
        <v>14.864431486880468</v>
      </c>
      <c r="I114" s="3" t="s">
        <v>1527</v>
      </c>
      <c r="K114">
        <v>461</v>
      </c>
      <c r="L114">
        <v>2009</v>
      </c>
      <c r="M114" t="s">
        <v>1502</v>
      </c>
      <c r="N114" s="96">
        <v>0.82900000000000007</v>
      </c>
      <c r="O114">
        <v>26.8</v>
      </c>
      <c r="P114" s="34">
        <f>O114*(1/(INDEX(Currency!$A$1:$E$20,MATCH(L114,Currency!$A$1:$A$20,0),MATCH(M114,Currency!$A$1:$E$1,0))))*(Inflation!$B$23/(VLOOKUP(L114,Inflation!$A$1:$B$23,2,FALSE)))</f>
        <v>30.126733546466767</v>
      </c>
      <c r="Q114" s="16" t="s">
        <v>1894</v>
      </c>
      <c r="R114" t="s">
        <v>1896</v>
      </c>
      <c r="AP114" s="19"/>
      <c r="AQ114" s="15"/>
      <c r="AR114" s="83"/>
      <c r="AS114" s="19"/>
      <c r="AT114" s="19"/>
      <c r="AV114" s="3"/>
      <c r="AW114" s="15"/>
      <c r="AX114" s="83"/>
      <c r="AY114" s="3"/>
      <c r="AZ114" s="3"/>
    </row>
    <row r="115" spans="1:52">
      <c r="A115" s="19">
        <v>133</v>
      </c>
      <c r="B115" s="15">
        <v>0.19600000000000001</v>
      </c>
      <c r="C115" s="83">
        <v>0.87582905624803609</v>
      </c>
      <c r="D115" s="19" t="s">
        <v>1515</v>
      </c>
      <c r="F115" s="3">
        <v>400</v>
      </c>
      <c r="G115" s="15">
        <v>0.08</v>
      </c>
      <c r="H115" s="83">
        <v>14.864431486880468</v>
      </c>
      <c r="I115" s="3" t="s">
        <v>1527</v>
      </c>
      <c r="K115">
        <v>461</v>
      </c>
      <c r="L115">
        <v>2009</v>
      </c>
      <c r="M115" t="s">
        <v>1502</v>
      </c>
      <c r="N115" s="96">
        <v>0.76200000000000001</v>
      </c>
      <c r="O115">
        <v>39.700000000000003</v>
      </c>
      <c r="P115" s="34">
        <f>O115*(1/(INDEX(Currency!$A$1:$E$20,MATCH(L115,Currency!$A$1:$A$20,0),MATCH(M115,Currency!$A$1:$E$1,0))))*(Inflation!$B$23/(VLOOKUP(L115,Inflation!$A$1:$B$23,2,FALSE)))</f>
        <v>44.62803439532577</v>
      </c>
      <c r="Q115" s="16" t="s">
        <v>1894</v>
      </c>
      <c r="R115" t="s">
        <v>1897</v>
      </c>
      <c r="AP115" s="19"/>
      <c r="AQ115" s="15"/>
      <c r="AR115" s="83"/>
      <c r="AS115" s="19"/>
      <c r="AT115" s="19"/>
      <c r="AV115" s="3"/>
      <c r="AW115" s="15"/>
      <c r="AX115" s="83"/>
      <c r="AY115" s="3"/>
      <c r="AZ115" s="3"/>
    </row>
    <row r="116" spans="1:52">
      <c r="A116" s="19">
        <v>118</v>
      </c>
      <c r="B116" s="15">
        <v>0.35</v>
      </c>
      <c r="C116" s="83">
        <v>2.6428509719222459</v>
      </c>
      <c r="D116" s="19" t="s">
        <v>1511</v>
      </c>
      <c r="F116" s="3">
        <v>400</v>
      </c>
      <c r="G116" s="15">
        <v>0.1</v>
      </c>
      <c r="H116" s="83">
        <v>14.864431486880468</v>
      </c>
      <c r="I116" s="3" t="s">
        <v>1527</v>
      </c>
      <c r="AP116" s="19"/>
      <c r="AQ116" s="15"/>
      <c r="AR116" s="83"/>
      <c r="AS116" s="19"/>
      <c r="AT116" s="19"/>
      <c r="AV116" s="3"/>
      <c r="AW116" s="15"/>
      <c r="AX116" s="83"/>
      <c r="AY116" s="3"/>
      <c r="AZ116" s="3"/>
    </row>
    <row r="117" spans="1:52">
      <c r="A117" s="19">
        <v>118</v>
      </c>
      <c r="B117" s="15">
        <v>0.35</v>
      </c>
      <c r="C117" s="83">
        <v>6.3868898488120944</v>
      </c>
      <c r="D117" s="19" t="s">
        <v>1511</v>
      </c>
      <c r="F117" s="3">
        <v>400</v>
      </c>
      <c r="G117" s="15">
        <v>0.12</v>
      </c>
      <c r="H117" s="83">
        <v>14.864431486880468</v>
      </c>
      <c r="I117" s="3" t="s">
        <v>1527</v>
      </c>
      <c r="AP117" s="19"/>
      <c r="AQ117" s="15"/>
      <c r="AR117" s="83"/>
      <c r="AS117" s="19"/>
      <c r="AT117" s="19"/>
      <c r="AV117" s="3"/>
      <c r="AW117" s="15"/>
      <c r="AX117" s="83"/>
      <c r="AY117" s="3"/>
      <c r="AZ117" s="3"/>
    </row>
    <row r="118" spans="1:52">
      <c r="A118" s="19">
        <v>118</v>
      </c>
      <c r="B118" s="15">
        <v>0.19</v>
      </c>
      <c r="C118" s="83">
        <v>2.9732073434125272</v>
      </c>
      <c r="D118" s="19" t="s">
        <v>1507</v>
      </c>
      <c r="F118" s="3">
        <v>400</v>
      </c>
      <c r="G118" s="15">
        <v>0.14000000000000001</v>
      </c>
      <c r="H118" s="83">
        <v>14.864431486880468</v>
      </c>
      <c r="I118" s="3" t="s">
        <v>1527</v>
      </c>
      <c r="AP118" s="19"/>
      <c r="AQ118" s="15"/>
      <c r="AR118" s="83"/>
      <c r="AS118" s="19"/>
      <c r="AT118" s="19"/>
      <c r="AV118" s="3"/>
      <c r="AW118" s="15"/>
      <c r="AX118" s="83"/>
      <c r="AY118" s="3"/>
      <c r="AZ118" s="3"/>
    </row>
    <row r="119" spans="1:52">
      <c r="A119" s="19">
        <v>118</v>
      </c>
      <c r="B119" s="15">
        <v>0.19</v>
      </c>
      <c r="C119" s="83">
        <v>5.2857019438444919</v>
      </c>
      <c r="D119" s="19" t="s">
        <v>1507</v>
      </c>
      <c r="F119" s="3">
        <v>400</v>
      </c>
      <c r="G119" s="15">
        <v>0.16</v>
      </c>
      <c r="H119" s="83">
        <v>14.864431486880468</v>
      </c>
      <c r="I119" s="3" t="s">
        <v>1527</v>
      </c>
      <c r="AP119" s="19"/>
      <c r="AQ119" s="15"/>
      <c r="AR119" s="83"/>
      <c r="AS119" s="19"/>
      <c r="AT119" s="19"/>
      <c r="AV119" s="3"/>
      <c r="AW119" s="15"/>
      <c r="AX119" s="83"/>
      <c r="AY119" s="3"/>
      <c r="AZ119" s="3"/>
    </row>
    <row r="120" spans="1:52">
      <c r="A120" s="19">
        <v>118</v>
      </c>
      <c r="B120" s="15">
        <v>0.25</v>
      </c>
      <c r="C120" s="83">
        <v>-0.11011879049676027</v>
      </c>
      <c r="D120" s="19" t="s">
        <v>1516</v>
      </c>
      <c r="F120" s="3">
        <v>400</v>
      </c>
      <c r="G120" s="15">
        <v>0.18</v>
      </c>
      <c r="H120" s="83">
        <v>14.864431486880468</v>
      </c>
      <c r="I120" s="3" t="s">
        <v>1527</v>
      </c>
      <c r="AP120" s="19"/>
      <c r="AQ120" s="15"/>
      <c r="AR120" s="83"/>
      <c r="AS120" s="19"/>
      <c r="AT120" s="19"/>
      <c r="AV120" s="3"/>
      <c r="AW120" s="15"/>
      <c r="AX120" s="83"/>
      <c r="AY120" s="3"/>
      <c r="AZ120" s="3"/>
    </row>
    <row r="121" spans="1:52">
      <c r="A121" s="19">
        <v>118</v>
      </c>
      <c r="B121" s="15">
        <v>0.25</v>
      </c>
      <c r="C121" s="83">
        <v>0.22023758099352053</v>
      </c>
      <c r="D121" s="19" t="s">
        <v>1516</v>
      </c>
      <c r="F121" s="3">
        <v>400</v>
      </c>
      <c r="G121" s="15">
        <v>0.02</v>
      </c>
      <c r="H121" s="83">
        <v>9.021172212727457</v>
      </c>
      <c r="I121" s="3" t="s">
        <v>1527</v>
      </c>
      <c r="AP121" s="19"/>
      <c r="AQ121" s="15"/>
      <c r="AR121" s="83"/>
      <c r="AS121" s="19"/>
      <c r="AT121" s="19"/>
      <c r="AV121" s="3"/>
      <c r="AW121" s="15"/>
      <c r="AX121" s="83"/>
      <c r="AY121" s="3"/>
      <c r="AZ121" s="3"/>
    </row>
    <row r="122" spans="1:52">
      <c r="A122" s="19">
        <v>118</v>
      </c>
      <c r="B122" s="15">
        <v>0.2</v>
      </c>
      <c r="C122" s="83">
        <v>3.7440388768898485</v>
      </c>
      <c r="D122" s="19" t="s">
        <v>1516</v>
      </c>
      <c r="F122" s="3">
        <v>400</v>
      </c>
      <c r="G122" s="15">
        <v>0.04</v>
      </c>
      <c r="H122" s="83">
        <v>9.021172212727457</v>
      </c>
      <c r="I122" s="3" t="s">
        <v>1527</v>
      </c>
      <c r="AP122" s="19"/>
      <c r="AQ122" s="15"/>
      <c r="AR122" s="83"/>
      <c r="AS122" s="19"/>
      <c r="AT122" s="19"/>
      <c r="AV122" s="3"/>
      <c r="AW122" s="15"/>
      <c r="AX122" s="83"/>
      <c r="AY122" s="3"/>
      <c r="AZ122" s="3"/>
    </row>
    <row r="123" spans="1:52">
      <c r="A123" s="19">
        <v>118</v>
      </c>
      <c r="B123" s="15">
        <v>0.25</v>
      </c>
      <c r="C123" s="83">
        <v>0.55059395248380127</v>
      </c>
      <c r="D123" s="19" t="s">
        <v>1516</v>
      </c>
      <c r="F123" s="3">
        <v>400</v>
      </c>
      <c r="G123" s="15">
        <v>0.06</v>
      </c>
      <c r="H123" s="83">
        <v>9.021172212727457</v>
      </c>
      <c r="I123" s="3" t="s">
        <v>1527</v>
      </c>
      <c r="AP123" s="19"/>
      <c r="AQ123" s="15"/>
      <c r="AR123" s="83"/>
      <c r="AS123" s="19"/>
      <c r="AT123" s="19"/>
      <c r="AV123" s="3"/>
      <c r="AW123" s="15"/>
      <c r="AX123" s="83"/>
      <c r="AY123" s="3"/>
      <c r="AZ123" s="3"/>
    </row>
    <row r="124" spans="1:52">
      <c r="A124" s="19">
        <v>118</v>
      </c>
      <c r="B124" s="15">
        <v>0.2</v>
      </c>
      <c r="C124" s="83">
        <v>1.1011879049676025</v>
      </c>
      <c r="D124" s="19" t="s">
        <v>1236</v>
      </c>
      <c r="F124" s="3">
        <v>400</v>
      </c>
      <c r="G124" s="15">
        <v>0.08</v>
      </c>
      <c r="H124" s="83">
        <v>9.021172212727457</v>
      </c>
      <c r="I124" s="3" t="s">
        <v>1527</v>
      </c>
      <c r="AP124" s="19"/>
      <c r="AQ124" s="15"/>
      <c r="AR124" s="83"/>
      <c r="AS124" s="19"/>
      <c r="AT124" s="19"/>
      <c r="AV124" s="3"/>
      <c r="AW124" s="15"/>
      <c r="AX124" s="83"/>
      <c r="AY124" s="3"/>
      <c r="AZ124" s="3"/>
    </row>
    <row r="125" spans="1:52">
      <c r="A125" s="19">
        <v>118</v>
      </c>
      <c r="B125" s="15">
        <v>0.2</v>
      </c>
      <c r="C125" s="83">
        <v>4.6249892008639311</v>
      </c>
      <c r="D125" s="19" t="s">
        <v>1236</v>
      </c>
      <c r="F125" s="3">
        <v>400</v>
      </c>
      <c r="G125" s="15">
        <v>0.1</v>
      </c>
      <c r="H125" s="83">
        <v>9.6362521363225113</v>
      </c>
      <c r="I125" s="3" t="s">
        <v>1527</v>
      </c>
      <c r="AP125" s="19"/>
      <c r="AQ125" s="15"/>
      <c r="AR125" s="83"/>
      <c r="AS125" s="19"/>
      <c r="AT125" s="19"/>
      <c r="AV125" s="3"/>
      <c r="AW125" s="15"/>
      <c r="AX125" s="83"/>
      <c r="AY125" s="3"/>
      <c r="AZ125" s="3"/>
    </row>
    <row r="126" spans="1:52">
      <c r="A126" s="19">
        <v>118</v>
      </c>
      <c r="B126" s="15">
        <v>0.08</v>
      </c>
      <c r="C126" s="83">
        <v>2.422613390928726</v>
      </c>
      <c r="D126" s="19" t="s">
        <v>1236</v>
      </c>
      <c r="F126" s="3">
        <v>400</v>
      </c>
      <c r="G126" s="15">
        <v>0.12</v>
      </c>
      <c r="H126" s="83">
        <v>9.6362521363225113</v>
      </c>
      <c r="I126" s="3" t="s">
        <v>1527</v>
      </c>
      <c r="AP126" s="19"/>
      <c r="AQ126" s="15"/>
      <c r="AR126" s="83"/>
      <c r="AS126" s="19"/>
      <c r="AT126" s="19"/>
      <c r="AV126" s="3"/>
      <c r="AW126" s="15"/>
      <c r="AX126" s="83"/>
      <c r="AY126" s="3"/>
      <c r="AZ126" s="3"/>
    </row>
    <row r="127" spans="1:52">
      <c r="A127" s="19">
        <v>278</v>
      </c>
      <c r="B127" s="15">
        <v>1.2500000000000001E-2</v>
      </c>
      <c r="C127" s="83">
        <v>0.22023758099352053</v>
      </c>
      <c r="D127" s="19" t="s">
        <v>1513</v>
      </c>
      <c r="F127" s="3">
        <v>400</v>
      </c>
      <c r="G127" s="15">
        <v>0.14000000000000001</v>
      </c>
      <c r="H127" s="83">
        <v>9.6362521363225113</v>
      </c>
      <c r="I127" s="3" t="s">
        <v>1527</v>
      </c>
      <c r="AP127" s="19"/>
      <c r="AQ127" s="15"/>
      <c r="AR127" s="83"/>
      <c r="AS127" s="19"/>
      <c r="AT127" s="19"/>
      <c r="AV127" s="3"/>
      <c r="AW127" s="15"/>
      <c r="AX127" s="83"/>
      <c r="AY127" s="3"/>
      <c r="AZ127" s="3"/>
    </row>
    <row r="128" spans="1:52">
      <c r="A128" s="19">
        <v>278</v>
      </c>
      <c r="B128" s="15">
        <v>2.5000000000000001E-2</v>
      </c>
      <c r="C128" s="83">
        <v>0.35238012958963283</v>
      </c>
      <c r="D128" s="19" t="s">
        <v>1513</v>
      </c>
      <c r="F128" s="3">
        <v>400</v>
      </c>
      <c r="G128" s="15">
        <v>0.16</v>
      </c>
      <c r="H128" s="83">
        <v>10.046305418719214</v>
      </c>
      <c r="I128" s="3" t="s">
        <v>1527</v>
      </c>
      <c r="AP128" s="19"/>
      <c r="AQ128" s="15"/>
      <c r="AR128" s="83"/>
      <c r="AS128" s="19"/>
      <c r="AT128" s="19"/>
      <c r="AV128" s="3"/>
      <c r="AW128" s="15"/>
      <c r="AX128" s="83"/>
      <c r="AY128" s="3"/>
      <c r="AZ128" s="3"/>
    </row>
    <row r="129" spans="1:52">
      <c r="A129" s="19">
        <v>278</v>
      </c>
      <c r="B129" s="15">
        <v>0.05</v>
      </c>
      <c r="C129" s="83">
        <v>0.61666522678185753</v>
      </c>
      <c r="D129" s="19" t="s">
        <v>1513</v>
      </c>
      <c r="F129" s="3">
        <v>400</v>
      </c>
      <c r="G129" s="15">
        <v>0.18</v>
      </c>
      <c r="H129" s="83">
        <v>10.35384538051674</v>
      </c>
      <c r="I129" s="3" t="s">
        <v>1527</v>
      </c>
      <c r="AP129" s="19"/>
      <c r="AQ129" s="15"/>
      <c r="AR129" s="83"/>
      <c r="AS129" s="19"/>
      <c r="AT129" s="19"/>
      <c r="AV129" s="3"/>
      <c r="AW129" s="15"/>
      <c r="AX129" s="83"/>
      <c r="AY129" s="3"/>
      <c r="AZ129" s="3"/>
    </row>
    <row r="130" spans="1:52" ht="14">
      <c r="A130" s="19">
        <v>278</v>
      </c>
      <c r="B130" s="15">
        <v>0.1</v>
      </c>
      <c r="C130" s="83">
        <v>1.1342235421166307</v>
      </c>
      <c r="D130" s="19" t="s">
        <v>1513</v>
      </c>
      <c r="F130" s="38">
        <v>400</v>
      </c>
      <c r="G130" s="15">
        <v>0.02</v>
      </c>
      <c r="H130" s="83">
        <v>12.609138433698604</v>
      </c>
      <c r="I130" s="38" t="s">
        <v>1781</v>
      </c>
      <c r="AP130" s="19"/>
      <c r="AQ130" s="15"/>
      <c r="AR130" s="83"/>
      <c r="AS130" s="19"/>
      <c r="AT130" s="19"/>
      <c r="AV130" s="38"/>
      <c r="AW130" s="15"/>
      <c r="AX130" s="83"/>
      <c r="AY130" s="38"/>
      <c r="AZ130" s="38"/>
    </row>
    <row r="131" spans="1:52" ht="14">
      <c r="F131" s="38">
        <v>400</v>
      </c>
      <c r="G131" s="15">
        <v>0.04</v>
      </c>
      <c r="H131" s="83">
        <v>14.249351563285414</v>
      </c>
      <c r="I131" s="38" t="s">
        <v>1781</v>
      </c>
      <c r="AV131" s="38"/>
      <c r="AW131" s="15"/>
      <c r="AX131" s="83"/>
      <c r="AY131" s="38"/>
      <c r="AZ131" s="38"/>
    </row>
    <row r="132" spans="1:52" ht="14">
      <c r="F132" s="38">
        <v>400</v>
      </c>
      <c r="G132" s="15">
        <v>0.06</v>
      </c>
      <c r="H132" s="83">
        <v>14.556891525082939</v>
      </c>
      <c r="I132" s="38" t="s">
        <v>1781</v>
      </c>
      <c r="AV132" s="38"/>
      <c r="AW132" s="15"/>
      <c r="AX132" s="83"/>
      <c r="AY132" s="38"/>
      <c r="AZ132" s="38"/>
    </row>
    <row r="133" spans="1:52" ht="14">
      <c r="F133" s="38">
        <v>400</v>
      </c>
      <c r="G133" s="15">
        <v>0.08</v>
      </c>
      <c r="H133" s="83">
        <v>14.556891525082939</v>
      </c>
      <c r="I133" s="38" t="s">
        <v>1781</v>
      </c>
      <c r="AV133" s="38"/>
      <c r="AW133" s="15"/>
      <c r="AX133" s="83"/>
      <c r="AY133" s="38"/>
      <c r="AZ133" s="38"/>
    </row>
    <row r="134" spans="1:52" ht="14">
      <c r="F134" s="38">
        <v>400</v>
      </c>
      <c r="G134" s="15">
        <v>0.1</v>
      </c>
      <c r="H134" s="83">
        <v>14.556891525082939</v>
      </c>
      <c r="I134" s="38" t="s">
        <v>1781</v>
      </c>
      <c r="AV134" s="38"/>
      <c r="AW134" s="15"/>
      <c r="AX134" s="83"/>
      <c r="AY134" s="38"/>
      <c r="AZ134" s="38"/>
    </row>
    <row r="135" spans="1:52" ht="14">
      <c r="F135" s="38">
        <v>400</v>
      </c>
      <c r="G135" s="15">
        <v>0.12</v>
      </c>
      <c r="H135" s="83">
        <v>14.761918166281292</v>
      </c>
      <c r="I135" s="38" t="s">
        <v>1781</v>
      </c>
      <c r="AV135" s="38"/>
      <c r="AW135" s="15"/>
      <c r="AX135" s="83"/>
      <c r="AY135" s="38"/>
      <c r="AZ135" s="38"/>
    </row>
    <row r="136" spans="1:52" ht="14">
      <c r="F136" s="38">
        <v>400</v>
      </c>
      <c r="G136" s="15">
        <v>0.14000000000000001</v>
      </c>
      <c r="H136" s="83">
        <v>14.966944807479642</v>
      </c>
      <c r="I136" s="38" t="s">
        <v>1781</v>
      </c>
      <c r="AV136" s="38"/>
      <c r="AW136" s="15"/>
      <c r="AX136" s="83"/>
      <c r="AY136" s="38"/>
      <c r="AZ136" s="38"/>
    </row>
    <row r="137" spans="1:52" ht="14">
      <c r="F137" s="38">
        <v>400</v>
      </c>
      <c r="G137" s="15">
        <v>0.16</v>
      </c>
      <c r="H137" s="83">
        <v>15.069458128078818</v>
      </c>
      <c r="I137" s="38" t="s">
        <v>1781</v>
      </c>
      <c r="AV137" s="38"/>
      <c r="AW137" s="15"/>
      <c r="AX137" s="83"/>
      <c r="AY137" s="38"/>
      <c r="AZ137" s="38"/>
    </row>
    <row r="138" spans="1:52" ht="14">
      <c r="F138" s="38">
        <v>400</v>
      </c>
      <c r="G138" s="15">
        <v>0.18</v>
      </c>
      <c r="H138" s="83">
        <v>15.171971448677995</v>
      </c>
      <c r="I138" s="38" t="s">
        <v>1781</v>
      </c>
      <c r="AV138" s="38"/>
      <c r="AW138" s="15"/>
      <c r="AX138" s="83"/>
      <c r="AY138" s="38"/>
      <c r="AZ138" s="38"/>
    </row>
    <row r="139" spans="1:52" ht="14">
      <c r="F139" s="38">
        <v>400</v>
      </c>
      <c r="G139" s="15">
        <v>0.02</v>
      </c>
      <c r="H139" s="83">
        <v>11.789031868905198</v>
      </c>
      <c r="I139" s="38" t="s">
        <v>1781</v>
      </c>
      <c r="AV139" s="38"/>
      <c r="AW139" s="15"/>
      <c r="AX139" s="83"/>
      <c r="AY139" s="38"/>
      <c r="AZ139" s="38"/>
    </row>
    <row r="140" spans="1:52" ht="14">
      <c r="F140" s="38">
        <v>400</v>
      </c>
      <c r="G140" s="15">
        <v>0.04</v>
      </c>
      <c r="H140" s="83">
        <v>11.789031868905198</v>
      </c>
      <c r="I140" s="38" t="s">
        <v>1781</v>
      </c>
      <c r="AV140" s="38"/>
      <c r="AW140" s="15"/>
      <c r="AX140" s="83"/>
      <c r="AY140" s="38"/>
      <c r="AZ140" s="38"/>
    </row>
    <row r="141" spans="1:52" ht="14">
      <c r="F141" s="38">
        <v>400</v>
      </c>
      <c r="G141" s="15">
        <v>0.06</v>
      </c>
      <c r="H141" s="83">
        <v>11.789031868905198</v>
      </c>
      <c r="I141" s="38" t="s">
        <v>1781</v>
      </c>
      <c r="AV141" s="38"/>
      <c r="AW141" s="15"/>
      <c r="AX141" s="83"/>
      <c r="AY141" s="38"/>
      <c r="AZ141" s="38"/>
    </row>
    <row r="142" spans="1:52" ht="14">
      <c r="F142" s="38">
        <v>400</v>
      </c>
      <c r="G142" s="15">
        <v>0.08</v>
      </c>
      <c r="H142" s="83">
        <v>11.789031868905198</v>
      </c>
      <c r="I142" s="38" t="s">
        <v>1781</v>
      </c>
      <c r="AV142" s="38"/>
      <c r="AW142" s="15"/>
      <c r="AX142" s="83"/>
      <c r="AY142" s="38"/>
      <c r="AZ142" s="38"/>
    </row>
    <row r="143" spans="1:52" ht="14">
      <c r="F143" s="38">
        <v>400</v>
      </c>
      <c r="G143" s="15">
        <v>0.1</v>
      </c>
      <c r="H143" s="83">
        <v>11.789031868905198</v>
      </c>
      <c r="I143" s="38" t="s">
        <v>1781</v>
      </c>
      <c r="AV143" s="38"/>
      <c r="AW143" s="15"/>
      <c r="AX143" s="83"/>
      <c r="AY143" s="38"/>
      <c r="AZ143" s="38"/>
    </row>
    <row r="144" spans="1:52" ht="14">
      <c r="F144" s="38">
        <v>400</v>
      </c>
      <c r="G144" s="15">
        <v>0.12</v>
      </c>
      <c r="H144" s="83">
        <v>11.789031868905198</v>
      </c>
      <c r="I144" s="38" t="s">
        <v>1781</v>
      </c>
      <c r="AV144" s="38"/>
      <c r="AW144" s="15"/>
      <c r="AX144" s="83"/>
      <c r="AY144" s="38"/>
      <c r="AZ144" s="38"/>
    </row>
    <row r="145" spans="6:52" ht="14">
      <c r="F145" s="38">
        <v>400</v>
      </c>
      <c r="G145" s="15">
        <v>0.14000000000000001</v>
      </c>
      <c r="H145" s="83">
        <v>11.789031868905198</v>
      </c>
      <c r="I145" s="38" t="s">
        <v>1781</v>
      </c>
      <c r="AV145" s="38"/>
      <c r="AW145" s="15"/>
      <c r="AX145" s="83"/>
      <c r="AY145" s="38"/>
      <c r="AZ145" s="38"/>
    </row>
    <row r="146" spans="6:52" ht="14">
      <c r="F146" s="38">
        <v>400</v>
      </c>
      <c r="G146" s="15">
        <v>0.16</v>
      </c>
      <c r="H146" s="83">
        <v>11.789031868905198</v>
      </c>
      <c r="I146" s="38" t="s">
        <v>1781</v>
      </c>
      <c r="AV146" s="38"/>
      <c r="AW146" s="15"/>
      <c r="AX146" s="83"/>
      <c r="AY146" s="38"/>
      <c r="AZ146" s="38"/>
    </row>
    <row r="147" spans="6:52" ht="14">
      <c r="F147" s="38">
        <v>400</v>
      </c>
      <c r="G147" s="15">
        <v>0.18</v>
      </c>
      <c r="H147" s="83">
        <v>12.301598471901077</v>
      </c>
      <c r="I147" s="38" t="s">
        <v>1781</v>
      </c>
      <c r="AV147" s="38"/>
      <c r="AW147" s="15"/>
      <c r="AX147" s="83"/>
      <c r="AY147" s="38"/>
      <c r="AZ147" s="38"/>
    </row>
    <row r="148" spans="6:52" ht="14">
      <c r="F148" s="38">
        <v>400</v>
      </c>
      <c r="G148" s="15">
        <v>0.02</v>
      </c>
      <c r="H148" s="83">
        <v>-23.885603699607923</v>
      </c>
      <c r="I148" s="38" t="s">
        <v>1782</v>
      </c>
      <c r="AV148" s="38"/>
      <c r="AW148" s="15"/>
      <c r="AX148" s="83"/>
      <c r="AY148" s="38"/>
      <c r="AZ148" s="38"/>
    </row>
    <row r="149" spans="6:52" ht="14">
      <c r="F149" s="38">
        <v>400</v>
      </c>
      <c r="G149" s="15">
        <v>0.04</v>
      </c>
      <c r="H149" s="83">
        <v>-10.558872021715091</v>
      </c>
      <c r="I149" s="38" t="s">
        <v>1782</v>
      </c>
      <c r="AV149" s="38"/>
      <c r="AW149" s="15"/>
      <c r="AX149" s="83"/>
      <c r="AY149" s="38"/>
      <c r="AZ149" s="38"/>
    </row>
    <row r="150" spans="6:52" ht="14">
      <c r="F150" s="38">
        <v>400</v>
      </c>
      <c r="G150" s="15">
        <v>0.06</v>
      </c>
      <c r="H150" s="83">
        <v>-6.3558258771488898</v>
      </c>
      <c r="I150" s="38" t="s">
        <v>1782</v>
      </c>
      <c r="AV150" s="38"/>
      <c r="AW150" s="15"/>
      <c r="AX150" s="83"/>
      <c r="AY150" s="38"/>
      <c r="AZ150" s="38"/>
    </row>
    <row r="151" spans="6:52" ht="14">
      <c r="F151" s="38">
        <v>400</v>
      </c>
      <c r="G151" s="15">
        <v>0.08</v>
      </c>
      <c r="H151" s="83">
        <v>-0.82010656479340516</v>
      </c>
      <c r="I151" s="38" t="s">
        <v>1782</v>
      </c>
      <c r="AV151" s="38"/>
      <c r="AW151" s="15"/>
      <c r="AX151" s="83"/>
      <c r="AY151" s="38"/>
      <c r="AZ151" s="38"/>
    </row>
    <row r="152" spans="6:52" ht="14">
      <c r="F152" s="38">
        <v>400</v>
      </c>
      <c r="G152" s="15">
        <v>0.1</v>
      </c>
      <c r="H152" s="83">
        <v>2.6653463355785667</v>
      </c>
      <c r="I152" s="38" t="s">
        <v>1782</v>
      </c>
      <c r="AV152" s="38"/>
      <c r="AW152" s="15"/>
      <c r="AX152" s="83"/>
      <c r="AY152" s="38"/>
      <c r="AZ152" s="38"/>
    </row>
    <row r="153" spans="6:52" ht="14">
      <c r="F153" s="38">
        <v>400</v>
      </c>
      <c r="G153" s="15">
        <v>0.12</v>
      </c>
      <c r="H153" s="83">
        <v>4.9206393887604305</v>
      </c>
      <c r="I153" s="38" t="s">
        <v>1782</v>
      </c>
      <c r="AV153" s="38"/>
      <c r="AW153" s="15"/>
      <c r="AX153" s="83"/>
      <c r="AY153" s="38"/>
      <c r="AZ153" s="38"/>
    </row>
    <row r="154" spans="6:52" ht="14">
      <c r="F154" s="38">
        <v>400</v>
      </c>
      <c r="G154" s="15">
        <v>0.14000000000000001</v>
      </c>
      <c r="H154" s="83">
        <v>6.0482859153513635</v>
      </c>
      <c r="I154" s="38" t="s">
        <v>1782</v>
      </c>
      <c r="AV154" s="38"/>
      <c r="AW154" s="15"/>
      <c r="AX154" s="83"/>
      <c r="AY154" s="38"/>
      <c r="AZ154" s="38"/>
    </row>
    <row r="155" spans="6:52" ht="14">
      <c r="F155" s="38">
        <v>400</v>
      </c>
      <c r="G155" s="15">
        <v>0.16</v>
      </c>
      <c r="H155" s="83">
        <v>7.483472403739821</v>
      </c>
      <c r="I155" s="38" t="s">
        <v>1782</v>
      </c>
      <c r="AV155" s="38"/>
      <c r="AW155" s="15"/>
      <c r="AX155" s="83"/>
      <c r="AY155" s="38"/>
      <c r="AZ155" s="38"/>
    </row>
    <row r="156" spans="6:52" ht="14">
      <c r="F156" s="38">
        <v>400</v>
      </c>
      <c r="G156" s="15">
        <v>0.18</v>
      </c>
      <c r="H156" s="83">
        <v>8.5086056097315783</v>
      </c>
      <c r="I156" s="38" t="s">
        <v>1782</v>
      </c>
      <c r="AV156" s="38"/>
      <c r="AW156" s="15"/>
      <c r="AX156" s="83"/>
      <c r="AY156" s="38"/>
      <c r="AZ156" s="38"/>
    </row>
    <row r="157" spans="6:52" ht="14">
      <c r="F157" s="38">
        <v>400</v>
      </c>
      <c r="G157" s="15">
        <v>0.02</v>
      </c>
      <c r="H157" s="83">
        <v>-23.885603699607923</v>
      </c>
      <c r="I157" s="38" t="s">
        <v>1782</v>
      </c>
      <c r="AV157" s="38"/>
      <c r="AW157" s="15"/>
      <c r="AX157" s="83"/>
      <c r="AY157" s="38"/>
      <c r="AZ157" s="38"/>
    </row>
    <row r="158" spans="6:52" ht="14">
      <c r="F158" s="38">
        <v>400</v>
      </c>
      <c r="G158" s="15">
        <v>0.04</v>
      </c>
      <c r="H158" s="83">
        <v>-10.558872021715091</v>
      </c>
      <c r="I158" s="38" t="s">
        <v>1782</v>
      </c>
      <c r="AV158" s="38"/>
      <c r="AW158" s="15"/>
      <c r="AX158" s="83"/>
      <c r="AY158" s="38"/>
      <c r="AZ158" s="38"/>
    </row>
    <row r="159" spans="6:52" ht="14">
      <c r="F159" s="38">
        <v>400</v>
      </c>
      <c r="G159" s="15">
        <v>0.06</v>
      </c>
      <c r="H159" s="83">
        <v>-6.3558258771488898</v>
      </c>
      <c r="I159" s="38" t="s">
        <v>1782</v>
      </c>
      <c r="AV159" s="38"/>
      <c r="AW159" s="15"/>
      <c r="AX159" s="83"/>
      <c r="AY159" s="38"/>
      <c r="AZ159" s="38"/>
    </row>
    <row r="160" spans="6:52" ht="14">
      <c r="F160" s="38">
        <v>400</v>
      </c>
      <c r="G160" s="15">
        <v>0.08</v>
      </c>
      <c r="H160" s="83">
        <v>-0.82010656479340516</v>
      </c>
      <c r="I160" s="38" t="s">
        <v>1782</v>
      </c>
      <c r="AV160" s="38"/>
      <c r="AW160" s="15"/>
      <c r="AX160" s="83"/>
      <c r="AY160" s="38"/>
      <c r="AZ160" s="38"/>
    </row>
    <row r="161" spans="6:52" ht="14">
      <c r="F161" s="38">
        <v>400</v>
      </c>
      <c r="G161" s="15">
        <v>0.1</v>
      </c>
      <c r="H161" s="83">
        <v>0.5125666029958782</v>
      </c>
      <c r="I161" s="38" t="s">
        <v>1782</v>
      </c>
      <c r="AV161" s="38"/>
      <c r="AW161" s="15"/>
      <c r="AX161" s="83"/>
      <c r="AY161" s="38"/>
      <c r="AZ161" s="38"/>
    </row>
    <row r="162" spans="6:52" ht="14">
      <c r="F162" s="38">
        <v>400</v>
      </c>
      <c r="G162" s="15">
        <v>0.12</v>
      </c>
      <c r="H162" s="83">
        <v>2.0502664119835128</v>
      </c>
      <c r="I162" s="38" t="s">
        <v>1782</v>
      </c>
      <c r="AV162" s="38"/>
      <c r="AW162" s="15"/>
      <c r="AX162" s="83"/>
      <c r="AY162" s="38"/>
      <c r="AZ162" s="38"/>
    </row>
    <row r="163" spans="6:52" ht="14">
      <c r="F163" s="38">
        <v>400</v>
      </c>
      <c r="G163" s="15">
        <v>0.14000000000000001</v>
      </c>
      <c r="H163" s="83">
        <v>2.0502664119835128</v>
      </c>
      <c r="I163" s="38" t="s">
        <v>1782</v>
      </c>
      <c r="AV163" s="38"/>
      <c r="AW163" s="15"/>
      <c r="AX163" s="83"/>
      <c r="AY163" s="38"/>
      <c r="AZ163" s="38"/>
    </row>
    <row r="164" spans="6:52" ht="14">
      <c r="F164" s="38">
        <v>400</v>
      </c>
      <c r="G164" s="15">
        <v>0.16</v>
      </c>
      <c r="H164" s="83">
        <v>2.0502664119835128</v>
      </c>
      <c r="I164" s="38" t="s">
        <v>1782</v>
      </c>
      <c r="AV164" s="38"/>
      <c r="AW164" s="15"/>
      <c r="AX164" s="83"/>
      <c r="AY164" s="38"/>
      <c r="AZ164" s="38"/>
    </row>
    <row r="165" spans="6:52" ht="14">
      <c r="F165" s="38">
        <v>400</v>
      </c>
      <c r="G165" s="15">
        <v>0.18</v>
      </c>
      <c r="H165" s="83">
        <v>2.0502664119835128</v>
      </c>
      <c r="I165" s="38" t="s">
        <v>1782</v>
      </c>
      <c r="AV165" s="38"/>
      <c r="AW165" s="15"/>
      <c r="AX165" s="83"/>
      <c r="AY165" s="38"/>
      <c r="AZ165" s="38"/>
    </row>
    <row r="166" spans="6:52" ht="14">
      <c r="F166" s="38">
        <v>400</v>
      </c>
      <c r="G166" s="15">
        <v>0.02</v>
      </c>
      <c r="H166" s="83">
        <v>9.841278777520861</v>
      </c>
      <c r="I166" s="38" t="s">
        <v>1783</v>
      </c>
      <c r="AV166" s="38"/>
      <c r="AW166" s="15"/>
      <c r="AX166" s="83"/>
      <c r="AY166" s="38"/>
      <c r="AZ166" s="38"/>
    </row>
    <row r="167" spans="6:52" ht="14">
      <c r="F167" s="38">
        <v>400</v>
      </c>
      <c r="G167" s="15">
        <v>0.04</v>
      </c>
      <c r="H167" s="83">
        <v>11.99405851010355</v>
      </c>
      <c r="I167" s="38" t="s">
        <v>1783</v>
      </c>
      <c r="AV167" s="38"/>
      <c r="AW167" s="15"/>
      <c r="AX167" s="83"/>
      <c r="AY167" s="38"/>
      <c r="AZ167" s="38"/>
    </row>
    <row r="168" spans="6:52" ht="14">
      <c r="F168" s="38">
        <v>400</v>
      </c>
      <c r="G168" s="15">
        <v>0.06</v>
      </c>
      <c r="H168" s="83">
        <v>12.609138433698604</v>
      </c>
      <c r="I168" s="38" t="s">
        <v>1783</v>
      </c>
      <c r="AV168" s="38"/>
      <c r="AW168" s="15"/>
      <c r="AX168" s="83"/>
      <c r="AY168" s="38"/>
      <c r="AZ168" s="38"/>
    </row>
    <row r="169" spans="6:52" ht="14">
      <c r="F169" s="38">
        <v>400</v>
      </c>
      <c r="G169" s="15">
        <v>0.08</v>
      </c>
      <c r="H169" s="83">
        <v>13.121705036694483</v>
      </c>
      <c r="I169" s="38" t="s">
        <v>1783</v>
      </c>
      <c r="AV169" s="38"/>
      <c r="AW169" s="15"/>
      <c r="AX169" s="83"/>
      <c r="AY169" s="38"/>
      <c r="AZ169" s="38"/>
    </row>
    <row r="170" spans="6:52" ht="14">
      <c r="F170" s="38">
        <v>400</v>
      </c>
      <c r="G170" s="15">
        <v>0.1</v>
      </c>
      <c r="H170" s="83">
        <v>13.224218357293658</v>
      </c>
      <c r="I170" s="38" t="s">
        <v>1783</v>
      </c>
      <c r="AV170" s="38"/>
      <c r="AW170" s="15"/>
      <c r="AX170" s="83"/>
      <c r="AY170" s="38"/>
      <c r="AZ170" s="38"/>
    </row>
    <row r="171" spans="6:52" ht="14">
      <c r="F171" s="38">
        <v>400</v>
      </c>
      <c r="G171" s="15">
        <v>0.12</v>
      </c>
      <c r="H171" s="83">
        <v>13.429244998492008</v>
      </c>
      <c r="I171" s="38" t="s">
        <v>1783</v>
      </c>
      <c r="AV171" s="38"/>
      <c r="AW171" s="15"/>
      <c r="AX171" s="83"/>
      <c r="AY171" s="38"/>
      <c r="AZ171" s="38"/>
    </row>
    <row r="172" spans="6:52" ht="14">
      <c r="F172" s="38">
        <v>400</v>
      </c>
      <c r="G172" s="15">
        <v>0.14000000000000001</v>
      </c>
      <c r="H172" s="83">
        <v>13.531758319091184</v>
      </c>
      <c r="I172" s="38" t="s">
        <v>1783</v>
      </c>
      <c r="AV172" s="38"/>
      <c r="AW172" s="15"/>
      <c r="AX172" s="83"/>
      <c r="AY172" s="38"/>
      <c r="AZ172" s="38"/>
    </row>
    <row r="173" spans="6:52" ht="14">
      <c r="F173" s="38">
        <v>400</v>
      </c>
      <c r="G173" s="15">
        <v>0.16</v>
      </c>
      <c r="H173" s="83">
        <v>13.531758319091184</v>
      </c>
      <c r="I173" s="38" t="s">
        <v>1783</v>
      </c>
      <c r="AV173" s="38"/>
      <c r="AW173" s="15"/>
      <c r="AX173" s="83"/>
      <c r="AY173" s="38"/>
      <c r="AZ173" s="38"/>
    </row>
    <row r="174" spans="6:52" ht="14">
      <c r="F174" s="38">
        <v>400</v>
      </c>
      <c r="G174" s="15">
        <v>0.18</v>
      </c>
      <c r="H174" s="83">
        <v>13.736784960289537</v>
      </c>
      <c r="I174" s="38" t="s">
        <v>1783</v>
      </c>
      <c r="AV174" s="38"/>
      <c r="AW174" s="15"/>
      <c r="AX174" s="83"/>
      <c r="AY174" s="38"/>
      <c r="AZ174" s="38"/>
    </row>
    <row r="175" spans="6:52" ht="14">
      <c r="F175" s="38">
        <v>400</v>
      </c>
      <c r="G175" s="15">
        <v>0.02</v>
      </c>
      <c r="H175" s="83">
        <v>3.4854529003719716</v>
      </c>
      <c r="I175" s="38" t="s">
        <v>1783</v>
      </c>
      <c r="AV175" s="38"/>
      <c r="AW175" s="15"/>
      <c r="AX175" s="83"/>
      <c r="AY175" s="38"/>
      <c r="AZ175" s="38"/>
    </row>
    <row r="176" spans="6:52" ht="14">
      <c r="F176" s="38">
        <v>400</v>
      </c>
      <c r="G176" s="15">
        <v>0.04</v>
      </c>
      <c r="H176" s="83">
        <v>4.9206393887604305</v>
      </c>
      <c r="I176" s="38" t="s">
        <v>1783</v>
      </c>
      <c r="AV176" s="38"/>
      <c r="AW176" s="15"/>
      <c r="AX176" s="83"/>
      <c r="AY176" s="38"/>
      <c r="AZ176" s="38"/>
    </row>
    <row r="177" spans="6:52" ht="14">
      <c r="F177" s="38">
        <v>400</v>
      </c>
      <c r="G177" s="15">
        <v>0.06</v>
      </c>
      <c r="H177" s="83">
        <v>4.9206393887604305</v>
      </c>
      <c r="I177" s="38" t="s">
        <v>1783</v>
      </c>
      <c r="AV177" s="38"/>
      <c r="AW177" s="15"/>
      <c r="AX177" s="83"/>
      <c r="AY177" s="38"/>
      <c r="AZ177" s="38"/>
    </row>
    <row r="178" spans="6:52" ht="14">
      <c r="F178" s="38">
        <v>400</v>
      </c>
      <c r="G178" s="15">
        <v>0.08</v>
      </c>
      <c r="H178" s="83">
        <v>5.6382326329546597</v>
      </c>
      <c r="I178" s="38" t="s">
        <v>1783</v>
      </c>
      <c r="AV178" s="38"/>
      <c r="AW178" s="15"/>
      <c r="AX178" s="83"/>
      <c r="AY178" s="38"/>
      <c r="AZ178" s="38"/>
    </row>
    <row r="179" spans="6:52" ht="14">
      <c r="F179" s="38">
        <v>400</v>
      </c>
      <c r="G179" s="15">
        <v>0.1</v>
      </c>
      <c r="H179" s="83">
        <v>5.6382326329546597</v>
      </c>
      <c r="I179" s="38" t="s">
        <v>1783</v>
      </c>
      <c r="AV179" s="38"/>
      <c r="AW179" s="15"/>
      <c r="AX179" s="83"/>
      <c r="AY179" s="38"/>
      <c r="AZ179" s="38"/>
    </row>
    <row r="180" spans="6:52" ht="14">
      <c r="F180" s="38">
        <v>400</v>
      </c>
      <c r="G180" s="15">
        <v>0.12</v>
      </c>
      <c r="H180" s="83">
        <v>5.6382326329546597</v>
      </c>
      <c r="I180" s="38" t="s">
        <v>1783</v>
      </c>
      <c r="AV180" s="38"/>
      <c r="AW180" s="15"/>
      <c r="AX180" s="83"/>
      <c r="AY180" s="38"/>
      <c r="AZ180" s="38"/>
    </row>
    <row r="181" spans="6:52" ht="14">
      <c r="F181" s="38">
        <v>400</v>
      </c>
      <c r="G181" s="15">
        <v>0.14000000000000001</v>
      </c>
      <c r="H181" s="83">
        <v>6.1507992359505383</v>
      </c>
      <c r="I181" s="38" t="s">
        <v>1783</v>
      </c>
      <c r="AV181" s="38"/>
      <c r="AW181" s="15"/>
      <c r="AX181" s="83"/>
      <c r="AY181" s="38"/>
      <c r="AZ181" s="38"/>
    </row>
    <row r="182" spans="6:52" ht="14">
      <c r="F182" s="38">
        <v>400</v>
      </c>
      <c r="G182" s="15">
        <v>0.16</v>
      </c>
      <c r="H182" s="83">
        <v>6.1507992359505383</v>
      </c>
      <c r="I182" s="38" t="s">
        <v>1783</v>
      </c>
      <c r="AV182" s="38"/>
      <c r="AW182" s="15"/>
      <c r="AX182" s="83"/>
      <c r="AY182" s="38"/>
      <c r="AZ182" s="38"/>
    </row>
    <row r="183" spans="6:52" ht="14">
      <c r="F183" s="38">
        <v>400</v>
      </c>
      <c r="G183" s="15">
        <v>0.18</v>
      </c>
      <c r="H183" s="83">
        <v>6.3558258771488898</v>
      </c>
      <c r="I183" s="38" t="s">
        <v>1783</v>
      </c>
      <c r="AV183" s="38"/>
      <c r="AW183" s="15"/>
      <c r="AX183" s="83"/>
      <c r="AY183" s="38"/>
      <c r="AZ183" s="38"/>
    </row>
    <row r="184" spans="6:52" ht="14">
      <c r="F184" s="38">
        <v>400</v>
      </c>
      <c r="G184" s="15">
        <v>0.02</v>
      </c>
      <c r="H184" s="83">
        <v>16.197104654669751</v>
      </c>
      <c r="I184" s="38" t="s">
        <v>1784</v>
      </c>
      <c r="AV184" s="38"/>
      <c r="AW184" s="15"/>
      <c r="AX184" s="83"/>
      <c r="AY184" s="38"/>
      <c r="AZ184" s="38"/>
    </row>
    <row r="185" spans="6:52" ht="14">
      <c r="F185" s="38">
        <v>400</v>
      </c>
      <c r="G185" s="15">
        <v>0.04</v>
      </c>
      <c r="H185" s="83">
        <v>16.197104654669751</v>
      </c>
      <c r="I185" s="38" t="s">
        <v>1784</v>
      </c>
      <c r="AV185" s="38"/>
      <c r="AW185" s="15"/>
      <c r="AX185" s="83"/>
      <c r="AY185" s="38"/>
      <c r="AZ185" s="38"/>
    </row>
    <row r="186" spans="6:52" ht="14">
      <c r="F186" s="38">
        <v>400</v>
      </c>
      <c r="G186" s="15">
        <v>0.06</v>
      </c>
      <c r="H186" s="83">
        <v>16.197104654669751</v>
      </c>
      <c r="I186" s="38" t="s">
        <v>1784</v>
      </c>
      <c r="AV186" s="38"/>
      <c r="AW186" s="15"/>
      <c r="AX186" s="83"/>
      <c r="AY186" s="38"/>
      <c r="AZ186" s="38"/>
    </row>
    <row r="187" spans="6:52" ht="14">
      <c r="F187" s="38">
        <v>400</v>
      </c>
      <c r="G187" s="15">
        <v>0.08</v>
      </c>
      <c r="H187" s="83">
        <v>16.197104654669751</v>
      </c>
      <c r="I187" s="38" t="s">
        <v>1784</v>
      </c>
      <c r="AV187" s="38"/>
      <c r="AW187" s="15"/>
      <c r="AX187" s="83"/>
      <c r="AY187" s="38"/>
      <c r="AZ187" s="38"/>
    </row>
    <row r="188" spans="6:52" ht="14">
      <c r="F188" s="38">
        <v>400</v>
      </c>
      <c r="G188" s="15">
        <v>0.1</v>
      </c>
      <c r="H188" s="83">
        <v>16.197104654669751</v>
      </c>
      <c r="I188" s="38" t="s">
        <v>1784</v>
      </c>
      <c r="AV188" s="38"/>
      <c r="AW188" s="15"/>
      <c r="AX188" s="83"/>
      <c r="AY188" s="38"/>
      <c r="AZ188" s="38"/>
    </row>
    <row r="189" spans="6:52" ht="14">
      <c r="F189" s="38">
        <v>400</v>
      </c>
      <c r="G189" s="15">
        <v>0.12</v>
      </c>
      <c r="H189" s="83">
        <v>16.197104654669751</v>
      </c>
      <c r="I189" s="38" t="s">
        <v>1784</v>
      </c>
      <c r="AV189" s="38"/>
      <c r="AW189" s="15"/>
      <c r="AX189" s="83"/>
      <c r="AY189" s="38"/>
      <c r="AZ189" s="38"/>
    </row>
    <row r="190" spans="6:52" ht="14">
      <c r="F190" s="38">
        <v>400</v>
      </c>
      <c r="G190" s="15">
        <v>0.14000000000000001</v>
      </c>
      <c r="H190" s="83">
        <v>16.197104654669751</v>
      </c>
      <c r="I190" s="38" t="s">
        <v>1784</v>
      </c>
      <c r="AV190" s="38"/>
      <c r="AW190" s="15"/>
      <c r="AX190" s="83"/>
      <c r="AY190" s="38"/>
      <c r="AZ190" s="38"/>
    </row>
    <row r="191" spans="6:52" ht="14">
      <c r="F191" s="38">
        <v>400</v>
      </c>
      <c r="G191" s="15">
        <v>0.16</v>
      </c>
      <c r="H191" s="83">
        <v>16.197104654669751</v>
      </c>
      <c r="I191" s="38" t="s">
        <v>1784</v>
      </c>
      <c r="AV191" s="38"/>
      <c r="AW191" s="15"/>
      <c r="AX191" s="83"/>
      <c r="AY191" s="38"/>
      <c r="AZ191" s="38"/>
    </row>
    <row r="192" spans="6:52" ht="14">
      <c r="F192" s="38">
        <v>400</v>
      </c>
      <c r="G192" s="15">
        <v>0.18</v>
      </c>
      <c r="H192" s="83">
        <v>16.197104654669751</v>
      </c>
      <c r="I192" s="38" t="s">
        <v>1784</v>
      </c>
      <c r="AV192" s="38"/>
      <c r="AW192" s="15"/>
      <c r="AX192" s="83"/>
      <c r="AY192" s="38"/>
      <c r="AZ192" s="38"/>
    </row>
    <row r="193" spans="6:52" ht="14">
      <c r="F193" s="38">
        <v>400</v>
      </c>
      <c r="G193" s="15">
        <v>0.02</v>
      </c>
      <c r="H193" s="83">
        <v>8.4060922891324008</v>
      </c>
      <c r="I193" s="38" t="s">
        <v>1784</v>
      </c>
      <c r="AV193" s="38"/>
      <c r="AW193" s="15"/>
      <c r="AX193" s="83"/>
      <c r="AY193" s="38"/>
      <c r="AZ193" s="38"/>
    </row>
    <row r="194" spans="6:52" ht="14">
      <c r="F194" s="38">
        <v>400</v>
      </c>
      <c r="G194" s="15">
        <v>0.04</v>
      </c>
      <c r="H194" s="83">
        <v>8.4060922891324008</v>
      </c>
      <c r="I194" s="38" t="s">
        <v>1784</v>
      </c>
      <c r="AV194" s="38"/>
      <c r="AW194" s="15"/>
      <c r="AX194" s="83"/>
      <c r="AY194" s="38"/>
      <c r="AZ194" s="38"/>
    </row>
    <row r="195" spans="6:52" ht="14">
      <c r="F195" s="38">
        <v>400</v>
      </c>
      <c r="G195" s="15">
        <v>0.06</v>
      </c>
      <c r="H195" s="83">
        <v>8.4060922891324008</v>
      </c>
      <c r="I195" s="38" t="s">
        <v>1784</v>
      </c>
      <c r="AV195" s="38"/>
      <c r="AW195" s="15"/>
      <c r="AX195" s="83"/>
      <c r="AY195" s="38"/>
      <c r="AZ195" s="38"/>
    </row>
    <row r="196" spans="6:52" ht="14">
      <c r="F196" s="38">
        <v>400</v>
      </c>
      <c r="G196" s="15">
        <v>0.08</v>
      </c>
      <c r="H196" s="83">
        <v>8.4060922891324008</v>
      </c>
      <c r="I196" s="38" t="s">
        <v>1784</v>
      </c>
      <c r="AV196" s="38"/>
      <c r="AW196" s="15"/>
      <c r="AX196" s="83"/>
      <c r="AY196" s="38"/>
      <c r="AZ196" s="38"/>
    </row>
    <row r="197" spans="6:52" ht="14">
      <c r="F197" s="38">
        <v>400</v>
      </c>
      <c r="G197" s="15">
        <v>0.1</v>
      </c>
      <c r="H197" s="83">
        <v>8.4060922891324008</v>
      </c>
      <c r="I197" s="38" t="s">
        <v>1784</v>
      </c>
      <c r="AV197" s="38"/>
      <c r="AW197" s="15"/>
      <c r="AX197" s="83"/>
      <c r="AY197" s="38"/>
      <c r="AZ197" s="38"/>
    </row>
    <row r="198" spans="6:52" ht="14">
      <c r="F198" s="38">
        <v>400</v>
      </c>
      <c r="G198" s="15">
        <v>0.12</v>
      </c>
      <c r="H198" s="83">
        <v>8.4060922891324008</v>
      </c>
      <c r="I198" s="38" t="s">
        <v>1784</v>
      </c>
      <c r="AV198" s="38"/>
      <c r="AW198" s="15"/>
      <c r="AX198" s="83"/>
      <c r="AY198" s="38"/>
      <c r="AZ198" s="38"/>
    </row>
    <row r="199" spans="6:52" ht="14">
      <c r="F199" s="38">
        <v>400</v>
      </c>
      <c r="G199" s="15">
        <v>0.14000000000000001</v>
      </c>
      <c r="H199" s="83">
        <v>8.4060922891324008</v>
      </c>
      <c r="I199" s="38" t="s">
        <v>1784</v>
      </c>
      <c r="AV199" s="38"/>
      <c r="AW199" s="15"/>
      <c r="AX199" s="83"/>
      <c r="AY199" s="38"/>
      <c r="AZ199" s="38"/>
    </row>
    <row r="200" spans="6:52" ht="14">
      <c r="F200" s="38">
        <v>400</v>
      </c>
      <c r="G200" s="15">
        <v>0.16</v>
      </c>
      <c r="H200" s="83">
        <v>8.4060922891324008</v>
      </c>
      <c r="I200" s="38" t="s">
        <v>1784</v>
      </c>
      <c r="AV200" s="38"/>
      <c r="AW200" s="15"/>
      <c r="AX200" s="83"/>
      <c r="AY200" s="38"/>
      <c r="AZ200" s="38"/>
    </row>
    <row r="201" spans="6:52" ht="14">
      <c r="F201" s="38">
        <v>400</v>
      </c>
      <c r="G201" s="15">
        <v>0.18</v>
      </c>
      <c r="H201" s="83">
        <v>8.4060922891324008</v>
      </c>
      <c r="I201" s="38" t="s">
        <v>1784</v>
      </c>
      <c r="AV201" s="38"/>
      <c r="AW201" s="15"/>
      <c r="AX201" s="83"/>
      <c r="AY201" s="38"/>
      <c r="AZ201" s="38"/>
    </row>
    <row r="202" spans="6:52" ht="14">
      <c r="F202" s="38">
        <v>400</v>
      </c>
      <c r="G202" s="15">
        <v>0.02</v>
      </c>
      <c r="H202" s="83">
        <v>10.661385342314267</v>
      </c>
      <c r="I202" s="38" t="s">
        <v>1785</v>
      </c>
      <c r="AV202" s="38"/>
      <c r="AW202" s="15"/>
      <c r="AX202" s="83"/>
      <c r="AY202" s="38"/>
      <c r="AZ202" s="38"/>
    </row>
    <row r="203" spans="6:52" ht="14">
      <c r="F203" s="38">
        <v>400</v>
      </c>
      <c r="G203" s="15">
        <v>0.04</v>
      </c>
      <c r="H203" s="83">
        <v>10.661385342314267</v>
      </c>
      <c r="I203" s="38" t="s">
        <v>1785</v>
      </c>
      <c r="AV203" s="38"/>
      <c r="AW203" s="15"/>
      <c r="AX203" s="83"/>
      <c r="AY203" s="38"/>
      <c r="AZ203" s="38"/>
    </row>
    <row r="204" spans="6:52" ht="14">
      <c r="F204" s="38">
        <v>400</v>
      </c>
      <c r="G204" s="15">
        <v>0.06</v>
      </c>
      <c r="H204" s="83">
        <v>11.99405851010355</v>
      </c>
      <c r="I204" s="38" t="s">
        <v>1785</v>
      </c>
      <c r="AV204" s="38"/>
      <c r="AW204" s="15"/>
      <c r="AX204" s="83"/>
      <c r="AY204" s="38"/>
      <c r="AZ204" s="38"/>
    </row>
    <row r="205" spans="6:52" ht="14">
      <c r="F205" s="38">
        <v>400</v>
      </c>
      <c r="G205" s="15">
        <v>0.08</v>
      </c>
      <c r="H205" s="83">
        <v>12.506625113099426</v>
      </c>
      <c r="I205" s="38" t="s">
        <v>1785</v>
      </c>
      <c r="AV205" s="38"/>
      <c r="AW205" s="15"/>
      <c r="AX205" s="83"/>
      <c r="AY205" s="38"/>
      <c r="AZ205" s="38"/>
    </row>
    <row r="206" spans="6:52" ht="14">
      <c r="F206" s="38">
        <v>400</v>
      </c>
      <c r="G206" s="15">
        <v>0.1</v>
      </c>
      <c r="H206" s="83">
        <v>13.019191716095305</v>
      </c>
      <c r="I206" s="38" t="s">
        <v>1785</v>
      </c>
      <c r="AV206" s="38"/>
      <c r="AW206" s="15"/>
      <c r="AX206" s="83"/>
      <c r="AY206" s="38"/>
      <c r="AZ206" s="38"/>
    </row>
    <row r="207" spans="6:52" ht="14">
      <c r="F207" s="38">
        <v>400</v>
      </c>
      <c r="G207" s="15">
        <v>0.12</v>
      </c>
      <c r="H207" s="83">
        <v>13.121705036694483</v>
      </c>
      <c r="I207" s="38" t="s">
        <v>1785</v>
      </c>
      <c r="AV207" s="38"/>
      <c r="AW207" s="15"/>
      <c r="AX207" s="83"/>
      <c r="AY207" s="38"/>
      <c r="AZ207" s="38"/>
    </row>
    <row r="208" spans="6:52" ht="14">
      <c r="F208" s="38">
        <v>400</v>
      </c>
      <c r="G208" s="15">
        <v>0.14000000000000001</v>
      </c>
      <c r="H208" s="83">
        <v>13.429244998492008</v>
      </c>
      <c r="I208" s="38" t="s">
        <v>1785</v>
      </c>
      <c r="AV208" s="38"/>
      <c r="AW208" s="15"/>
      <c r="AX208" s="83"/>
      <c r="AY208" s="38"/>
      <c r="AZ208" s="38"/>
    </row>
    <row r="209" spans="6:52" ht="14">
      <c r="F209" s="38">
        <v>400</v>
      </c>
      <c r="G209" s="15">
        <v>0.16</v>
      </c>
      <c r="H209" s="83">
        <v>13.531758319091184</v>
      </c>
      <c r="I209" s="38" t="s">
        <v>1785</v>
      </c>
      <c r="AV209" s="38"/>
      <c r="AW209" s="15"/>
      <c r="AX209" s="83"/>
      <c r="AY209" s="38"/>
      <c r="AZ209" s="38"/>
    </row>
    <row r="210" spans="6:52" ht="14">
      <c r="F210" s="38">
        <v>400</v>
      </c>
      <c r="G210" s="15">
        <v>0.18</v>
      </c>
      <c r="H210" s="83">
        <v>13.634271639690361</v>
      </c>
      <c r="I210" s="38" t="s">
        <v>1785</v>
      </c>
      <c r="AV210" s="38"/>
      <c r="AW210" s="15"/>
      <c r="AX210" s="83"/>
      <c r="AY210" s="38"/>
      <c r="AZ210" s="38"/>
    </row>
    <row r="211" spans="6:52" ht="14">
      <c r="F211" s="38">
        <v>400</v>
      </c>
      <c r="G211" s="15">
        <v>0.02</v>
      </c>
      <c r="H211" s="83">
        <v>10.046305418719214</v>
      </c>
      <c r="I211" s="38" t="s">
        <v>1785</v>
      </c>
      <c r="AV211" s="38"/>
      <c r="AW211" s="15"/>
      <c r="AX211" s="83"/>
      <c r="AY211" s="38"/>
      <c r="AZ211" s="38"/>
    </row>
    <row r="212" spans="6:52" ht="14">
      <c r="F212" s="38">
        <v>400</v>
      </c>
      <c r="G212" s="15">
        <v>0.04</v>
      </c>
      <c r="H212" s="83">
        <v>10.046305418719214</v>
      </c>
      <c r="I212" s="38" t="s">
        <v>1785</v>
      </c>
      <c r="AV212" s="38"/>
      <c r="AW212" s="15"/>
      <c r="AX212" s="83"/>
      <c r="AY212" s="38"/>
      <c r="AZ212" s="38"/>
    </row>
    <row r="213" spans="6:52" ht="14">
      <c r="F213" s="38">
        <v>400</v>
      </c>
      <c r="G213" s="15">
        <v>0.06</v>
      </c>
      <c r="H213" s="83">
        <v>10.046305418719214</v>
      </c>
      <c r="I213" s="38" t="s">
        <v>1785</v>
      </c>
      <c r="AV213" s="38"/>
      <c r="AW213" s="15"/>
      <c r="AX213" s="83"/>
      <c r="AY213" s="38"/>
      <c r="AZ213" s="38"/>
    </row>
    <row r="214" spans="6:52" ht="14">
      <c r="F214" s="38">
        <v>400</v>
      </c>
      <c r="G214" s="15">
        <v>0.08</v>
      </c>
      <c r="H214" s="83">
        <v>10.456358701115914</v>
      </c>
      <c r="I214" s="38" t="s">
        <v>1785</v>
      </c>
      <c r="AV214" s="38"/>
      <c r="AW214" s="15"/>
      <c r="AX214" s="83"/>
      <c r="AY214" s="38"/>
      <c r="AZ214" s="38"/>
    </row>
    <row r="215" spans="6:52" ht="14">
      <c r="F215" s="38">
        <v>400</v>
      </c>
      <c r="G215" s="15">
        <v>0.1</v>
      </c>
      <c r="H215" s="83">
        <v>10.456358701115914</v>
      </c>
      <c r="I215" s="38" t="s">
        <v>1785</v>
      </c>
      <c r="AV215" s="38"/>
      <c r="AW215" s="15"/>
      <c r="AX215" s="83"/>
      <c r="AY215" s="38"/>
      <c r="AZ215" s="38"/>
    </row>
    <row r="216" spans="6:52" ht="14">
      <c r="F216" s="38">
        <v>400</v>
      </c>
      <c r="G216" s="15">
        <v>0.12</v>
      </c>
      <c r="H216" s="83">
        <v>10.456358701115914</v>
      </c>
      <c r="I216" s="38" t="s">
        <v>1785</v>
      </c>
      <c r="AV216" s="38"/>
      <c r="AW216" s="15"/>
      <c r="AX216" s="83"/>
      <c r="AY216" s="38"/>
      <c r="AZ216" s="38"/>
    </row>
    <row r="217" spans="6:52" ht="14">
      <c r="F217" s="38">
        <v>400</v>
      </c>
      <c r="G217" s="15">
        <v>0.14000000000000001</v>
      </c>
      <c r="H217" s="83">
        <v>10.456358701115914</v>
      </c>
      <c r="I217" s="38" t="s">
        <v>1785</v>
      </c>
      <c r="AV217" s="38"/>
      <c r="AW217" s="15"/>
      <c r="AX217" s="83"/>
      <c r="AY217" s="38"/>
      <c r="AZ217" s="38"/>
    </row>
    <row r="218" spans="6:52" ht="14">
      <c r="F218" s="38">
        <v>400</v>
      </c>
      <c r="G218" s="15">
        <v>0.16</v>
      </c>
      <c r="H218" s="83">
        <v>10.763898662913443</v>
      </c>
      <c r="I218" s="38" t="s">
        <v>1785</v>
      </c>
      <c r="AV218" s="38"/>
      <c r="AW218" s="15"/>
      <c r="AX218" s="83"/>
      <c r="AY218" s="38"/>
      <c r="AZ218" s="38"/>
    </row>
    <row r="219" spans="6:52" ht="14">
      <c r="F219" s="38">
        <v>400</v>
      </c>
      <c r="G219" s="15">
        <v>0.18</v>
      </c>
      <c r="H219" s="83">
        <v>10.968925304111792</v>
      </c>
      <c r="I219" s="38" t="s">
        <v>1785</v>
      </c>
      <c r="AV219" s="38"/>
      <c r="AW219" s="15"/>
      <c r="AX219" s="83"/>
      <c r="AY219" s="38"/>
      <c r="AZ219" s="38"/>
    </row>
    <row r="220" spans="6:52">
      <c r="F220" s="3">
        <v>403</v>
      </c>
      <c r="G220" s="15"/>
      <c r="H220" s="84"/>
      <c r="I220" s="3" t="s">
        <v>1529</v>
      </c>
      <c r="AV220" s="3"/>
      <c r="AW220" s="15"/>
      <c r="AX220" s="84"/>
      <c r="AY220" s="3"/>
      <c r="AZ220" s="3"/>
    </row>
    <row r="221" spans="6:52">
      <c r="F221" s="3">
        <v>403</v>
      </c>
      <c r="G221" s="15"/>
      <c r="H221" s="84"/>
      <c r="I221" s="3" t="s">
        <v>1529</v>
      </c>
      <c r="AV221" s="3"/>
      <c r="AW221" s="15"/>
      <c r="AX221" s="84"/>
      <c r="AY221" s="3"/>
      <c r="AZ221" s="3"/>
    </row>
    <row r="222" spans="6:52">
      <c r="F222" s="3">
        <v>403</v>
      </c>
      <c r="G222" s="15"/>
      <c r="H222" s="84"/>
      <c r="I222" s="3" t="s">
        <v>1529</v>
      </c>
      <c r="AV222" s="3"/>
      <c r="AW222" s="15"/>
      <c r="AX222" s="84"/>
      <c r="AY222" s="3"/>
      <c r="AZ222" s="3"/>
    </row>
    <row r="223" spans="6:52">
      <c r="F223" s="3">
        <v>403</v>
      </c>
      <c r="G223" s="15"/>
      <c r="H223" s="84"/>
      <c r="I223" s="3" t="s">
        <v>1529</v>
      </c>
      <c r="AV223" s="3"/>
      <c r="AW223" s="15"/>
      <c r="AX223" s="84"/>
      <c r="AY223" s="3"/>
      <c r="AZ223" s="3"/>
    </row>
    <row r="224" spans="6:52">
      <c r="F224" s="3">
        <v>403</v>
      </c>
      <c r="G224" s="15"/>
      <c r="H224" s="84"/>
      <c r="I224" s="3" t="s">
        <v>1529</v>
      </c>
      <c r="AV224" s="3"/>
      <c r="AW224" s="15"/>
      <c r="AX224" s="84"/>
      <c r="AY224" s="3"/>
      <c r="AZ224" s="3"/>
    </row>
    <row r="225" spans="6:52">
      <c r="F225" s="3">
        <v>403</v>
      </c>
      <c r="G225" s="15"/>
      <c r="H225" s="84"/>
      <c r="I225" s="3" t="s">
        <v>1529</v>
      </c>
      <c r="AV225" s="3"/>
      <c r="AW225" s="15"/>
      <c r="AX225" s="84"/>
      <c r="AY225" s="3"/>
      <c r="AZ225" s="3"/>
    </row>
    <row r="226" spans="6:52">
      <c r="F226" s="3">
        <v>403</v>
      </c>
      <c r="G226" s="15"/>
      <c r="H226" s="84"/>
      <c r="I226" s="3" t="s">
        <v>1529</v>
      </c>
      <c r="AV226" s="3"/>
      <c r="AW226" s="15"/>
      <c r="AX226" s="84"/>
      <c r="AY226" s="3"/>
      <c r="AZ226" s="3"/>
    </row>
    <row r="227" spans="6:52">
      <c r="F227" s="3">
        <v>403</v>
      </c>
      <c r="G227" s="15"/>
      <c r="H227" s="84"/>
      <c r="I227" s="3" t="s">
        <v>1529</v>
      </c>
      <c r="AV227" s="3"/>
      <c r="AW227" s="15"/>
      <c r="AX227" s="84"/>
      <c r="AY227" s="3"/>
      <c r="AZ227" s="3"/>
    </row>
    <row r="228" spans="6:52">
      <c r="F228" s="3">
        <v>403</v>
      </c>
      <c r="G228" s="15"/>
      <c r="H228" s="84"/>
      <c r="I228" s="3" t="s">
        <v>1529</v>
      </c>
      <c r="AV228" s="3"/>
      <c r="AW228" s="15"/>
      <c r="AX228" s="84"/>
      <c r="AY228" s="3"/>
      <c r="AZ228" s="3"/>
    </row>
    <row r="229" spans="6:52">
      <c r="F229" s="3">
        <v>403</v>
      </c>
      <c r="G229" s="15"/>
      <c r="H229" s="84"/>
      <c r="I229" s="3" t="s">
        <v>1529</v>
      </c>
      <c r="AV229" s="3"/>
      <c r="AW229" s="15"/>
      <c r="AX229" s="84"/>
      <c r="AY229" s="3"/>
      <c r="AZ229" s="3"/>
    </row>
    <row r="230" spans="6:52">
      <c r="F230" s="3">
        <v>403</v>
      </c>
      <c r="G230" s="15"/>
      <c r="H230" s="84"/>
      <c r="I230" s="3" t="s">
        <v>1529</v>
      </c>
      <c r="AV230" s="3"/>
      <c r="AW230" s="15"/>
      <c r="AX230" s="84"/>
      <c r="AY230" s="3"/>
      <c r="AZ230" s="3"/>
    </row>
    <row r="231" spans="6:52">
      <c r="F231" s="3">
        <v>403</v>
      </c>
      <c r="G231" s="15"/>
      <c r="H231" s="84"/>
      <c r="I231" s="3" t="s">
        <v>1529</v>
      </c>
      <c r="AV231" s="3"/>
      <c r="AW231" s="15"/>
      <c r="AX231" s="84"/>
      <c r="AY231" s="3"/>
      <c r="AZ231" s="3"/>
    </row>
    <row r="232" spans="6:52">
      <c r="F232" s="3">
        <v>403</v>
      </c>
      <c r="G232" s="15"/>
      <c r="H232" s="84"/>
      <c r="I232" s="3" t="s">
        <v>1529</v>
      </c>
      <c r="AV232" s="3"/>
      <c r="AW232" s="15"/>
      <c r="AX232" s="84"/>
      <c r="AY232" s="3"/>
      <c r="AZ232" s="3"/>
    </row>
    <row r="233" spans="6:52">
      <c r="F233" s="3">
        <v>403</v>
      </c>
      <c r="G233" s="15"/>
      <c r="H233" s="84"/>
      <c r="I233" s="3" t="s">
        <v>1529</v>
      </c>
      <c r="AV233" s="3"/>
      <c r="AW233" s="15"/>
      <c r="AX233" s="84"/>
      <c r="AY233" s="3"/>
      <c r="AZ233" s="3"/>
    </row>
    <row r="234" spans="6:52">
      <c r="F234" s="3">
        <v>403</v>
      </c>
      <c r="G234" s="15"/>
      <c r="H234" s="84"/>
      <c r="I234" s="3" t="s">
        <v>1529</v>
      </c>
      <c r="AV234" s="3"/>
      <c r="AW234" s="15"/>
      <c r="AX234" s="84"/>
      <c r="AY234" s="3"/>
      <c r="AZ234" s="3"/>
    </row>
    <row r="235" spans="6:52">
      <c r="F235" s="3">
        <v>403</v>
      </c>
      <c r="G235" s="15"/>
      <c r="H235" s="84"/>
      <c r="I235" s="3" t="s">
        <v>1529</v>
      </c>
      <c r="AV235" s="3"/>
      <c r="AW235" s="15"/>
      <c r="AX235" s="84"/>
      <c r="AY235" s="3"/>
      <c r="AZ235" s="3"/>
    </row>
    <row r="236" spans="6:52">
      <c r="F236" s="3">
        <v>403</v>
      </c>
      <c r="G236" s="15"/>
      <c r="H236" s="84"/>
      <c r="I236" s="3" t="s">
        <v>1529</v>
      </c>
      <c r="AV236" s="3"/>
      <c r="AW236" s="15"/>
      <c r="AX236" s="84"/>
      <c r="AY236" s="3"/>
      <c r="AZ236" s="3"/>
    </row>
    <row r="237" spans="6:52">
      <c r="F237" s="3">
        <v>403</v>
      </c>
      <c r="G237" s="15"/>
      <c r="H237" s="84"/>
      <c r="I237" s="3" t="s">
        <v>1529</v>
      </c>
      <c r="AV237" s="3"/>
      <c r="AW237" s="15"/>
      <c r="AX237" s="84"/>
      <c r="AY237" s="3"/>
      <c r="AZ237" s="3"/>
    </row>
    <row r="238" spans="6:52">
      <c r="F238" s="3">
        <v>413</v>
      </c>
      <c r="G238" s="15">
        <v>0.27100000000000002</v>
      </c>
      <c r="H238" s="83">
        <v>2.6009229739478958</v>
      </c>
      <c r="I238" s="3" t="s">
        <v>1529</v>
      </c>
      <c r="AV238" s="3"/>
      <c r="AW238" s="15"/>
      <c r="AX238" s="83"/>
      <c r="AY238" s="3"/>
      <c r="AZ238" s="3"/>
    </row>
    <row r="239" spans="6:52">
      <c r="F239" s="3">
        <v>413</v>
      </c>
      <c r="G239" s="15">
        <v>0.32600000000000001</v>
      </c>
      <c r="H239" s="83">
        <v>2.7295400440881763</v>
      </c>
      <c r="I239" s="3" t="s">
        <v>1529</v>
      </c>
      <c r="AV239" s="3"/>
      <c r="AW239" s="15"/>
      <c r="AX239" s="83"/>
      <c r="AY239" s="3"/>
      <c r="AZ239" s="3"/>
    </row>
    <row r="240" spans="6:52">
      <c r="F240" s="3">
        <v>413</v>
      </c>
      <c r="G240" s="15">
        <v>0.41699999999999998</v>
      </c>
      <c r="H240" s="83">
        <v>3.2011359679358722</v>
      </c>
      <c r="I240" s="3" t="s">
        <v>1529</v>
      </c>
      <c r="AV240" s="3"/>
      <c r="AW240" s="15"/>
      <c r="AX240" s="83"/>
      <c r="AY240" s="3"/>
      <c r="AZ240" s="3"/>
    </row>
    <row r="241" spans="6:52">
      <c r="F241" s="3">
        <v>374</v>
      </c>
      <c r="G241" s="15">
        <v>0.1</v>
      </c>
      <c r="H241" s="83">
        <v>6.5198775718096131</v>
      </c>
      <c r="I241" s="3" t="s">
        <v>1532</v>
      </c>
      <c r="AV241" s="3"/>
      <c r="AW241" s="15"/>
      <c r="AX241" s="83"/>
      <c r="AY241" s="3"/>
      <c r="AZ241" s="3"/>
    </row>
    <row r="242" spans="6:52">
      <c r="F242" s="3">
        <v>374</v>
      </c>
      <c r="G242" s="15">
        <v>0.3</v>
      </c>
      <c r="H242" s="83">
        <v>7.8562499933606507</v>
      </c>
      <c r="I242" s="3" t="s">
        <v>1532</v>
      </c>
      <c r="AV242" s="3"/>
      <c r="AW242" s="15"/>
      <c r="AX242" s="83"/>
      <c r="AY242" s="3"/>
      <c r="AZ242" s="3"/>
    </row>
    <row r="243" spans="6:52">
      <c r="F243" s="3">
        <v>374</v>
      </c>
      <c r="G243" s="15">
        <v>0.1</v>
      </c>
      <c r="H243" s="83">
        <v>7.840051539766093</v>
      </c>
      <c r="I243" s="3" t="s">
        <v>1532</v>
      </c>
      <c r="AV243" s="3"/>
      <c r="AW243" s="15"/>
      <c r="AX243" s="83"/>
      <c r="AY243" s="3"/>
      <c r="AZ243" s="3"/>
    </row>
    <row r="244" spans="6:52">
      <c r="F244" s="3">
        <v>374</v>
      </c>
      <c r="G244" s="15">
        <v>0.3</v>
      </c>
      <c r="H244" s="83">
        <v>8.6418749926967156</v>
      </c>
      <c r="I244" s="3" t="s">
        <v>1532</v>
      </c>
      <c r="AV244" s="3"/>
      <c r="AW244" s="15"/>
      <c r="AX244" s="83"/>
      <c r="AY244" s="3"/>
      <c r="AZ244" s="3"/>
    </row>
    <row r="245" spans="6:52">
      <c r="F245" s="3">
        <v>374</v>
      </c>
      <c r="G245" s="15">
        <v>0.1</v>
      </c>
      <c r="H245" s="83">
        <v>17.332345346177107</v>
      </c>
      <c r="I245" s="3" t="s">
        <v>1532</v>
      </c>
      <c r="AV245" s="3"/>
      <c r="AW245" s="15"/>
      <c r="AX245" s="83"/>
      <c r="AY245" s="3"/>
      <c r="AZ245" s="3"/>
    </row>
    <row r="246" spans="6:52">
      <c r="F246" s="3">
        <v>374</v>
      </c>
      <c r="G246" s="15">
        <v>0.3</v>
      </c>
      <c r="H246" s="83">
        <v>17.850695861202961</v>
      </c>
      <c r="I246" s="3" t="s">
        <v>1532</v>
      </c>
      <c r="AV246" s="3"/>
      <c r="AW246" s="15"/>
      <c r="AX246" s="83"/>
      <c r="AY246" s="3"/>
      <c r="AZ246" s="3"/>
    </row>
    <row r="247" spans="6:52">
      <c r="F247" s="3">
        <v>374</v>
      </c>
      <c r="G247" s="15">
        <v>0.1</v>
      </c>
      <c r="H247" s="83">
        <v>6.5927706129851238</v>
      </c>
      <c r="I247" s="3" t="s">
        <v>1533</v>
      </c>
      <c r="AV247" s="3"/>
      <c r="AW247" s="15"/>
      <c r="AX247" s="83"/>
      <c r="AY247" s="3"/>
      <c r="AZ247" s="3"/>
    </row>
    <row r="248" spans="6:52">
      <c r="F248" s="3">
        <v>374</v>
      </c>
      <c r="G248" s="15">
        <v>0.3</v>
      </c>
      <c r="H248" s="83">
        <v>7.022029633240912</v>
      </c>
      <c r="I248" s="3" t="s">
        <v>1533</v>
      </c>
      <c r="AV248" s="3"/>
      <c r="AW248" s="15"/>
      <c r="AX248" s="83"/>
      <c r="AY248" s="3"/>
      <c r="AZ248" s="3"/>
    </row>
    <row r="249" spans="6:52">
      <c r="F249" s="3">
        <v>374</v>
      </c>
      <c r="G249" s="15">
        <v>0.1</v>
      </c>
      <c r="H249" s="83">
        <v>6.5927706129851238</v>
      </c>
      <c r="I249" s="3" t="s">
        <v>1533</v>
      </c>
      <c r="AV249" s="3"/>
      <c r="AW249" s="15"/>
      <c r="AX249" s="83"/>
      <c r="AY249" s="3"/>
      <c r="AZ249" s="3"/>
    </row>
    <row r="250" spans="6:52">
      <c r="F250" s="3">
        <v>374</v>
      </c>
      <c r="G250" s="15">
        <v>0.3</v>
      </c>
      <c r="H250" s="83">
        <v>7.022029633240912</v>
      </c>
      <c r="I250" s="3" t="s">
        <v>1533</v>
      </c>
      <c r="AV250" s="3"/>
      <c r="AW250" s="15"/>
      <c r="AX250" s="83"/>
      <c r="AY250" s="3"/>
      <c r="AZ250" s="3"/>
    </row>
    <row r="251" spans="6:52">
      <c r="F251" s="3">
        <v>374</v>
      </c>
      <c r="G251" s="15">
        <v>0.1</v>
      </c>
      <c r="H251" s="83">
        <v>15.712499986721301</v>
      </c>
      <c r="I251" s="3" t="s">
        <v>1533</v>
      </c>
      <c r="AV251" s="3"/>
      <c r="AW251" s="15"/>
      <c r="AX251" s="83"/>
      <c r="AY251" s="3"/>
      <c r="AZ251" s="3"/>
    </row>
    <row r="252" spans="6:52">
      <c r="F252" s="3">
        <v>374</v>
      </c>
      <c r="G252" s="15">
        <v>0.3</v>
      </c>
      <c r="H252" s="83">
        <v>16.044568285409742</v>
      </c>
      <c r="I252" s="3" t="s">
        <v>1533</v>
      </c>
      <c r="AV252" s="3"/>
      <c r="AW252" s="15"/>
      <c r="AX252" s="83"/>
      <c r="AY252" s="3"/>
      <c r="AZ252" s="3"/>
    </row>
    <row r="253" spans="6:52">
      <c r="F253" s="3">
        <v>374</v>
      </c>
      <c r="G253" s="15">
        <v>0.1</v>
      </c>
      <c r="H253" s="83">
        <v>6.4469845306341016</v>
      </c>
      <c r="I253" s="3" t="s">
        <v>1530</v>
      </c>
      <c r="AV253" s="3"/>
      <c r="AW253" s="15"/>
      <c r="AX253" s="83"/>
      <c r="AY253" s="3"/>
      <c r="AZ253" s="3"/>
    </row>
    <row r="254" spans="6:52">
      <c r="F254" s="3">
        <v>374</v>
      </c>
      <c r="G254" s="15">
        <v>0.3</v>
      </c>
      <c r="H254" s="83">
        <v>7.1597164887946558</v>
      </c>
      <c r="I254" s="3" t="s">
        <v>1530</v>
      </c>
      <c r="AV254" s="3"/>
      <c r="AW254" s="15"/>
      <c r="AX254" s="83"/>
      <c r="AY254" s="3"/>
      <c r="AZ254" s="3"/>
    </row>
    <row r="255" spans="6:52">
      <c r="F255" s="3">
        <v>374</v>
      </c>
      <c r="G255" s="15">
        <v>0.1</v>
      </c>
      <c r="H255" s="83">
        <v>6.4469845306341016</v>
      </c>
      <c r="I255" s="3" t="s">
        <v>1530</v>
      </c>
      <c r="AV255" s="3"/>
      <c r="AW255" s="15"/>
      <c r="AX255" s="83"/>
      <c r="AY255" s="3"/>
      <c r="AZ255" s="3"/>
    </row>
    <row r="256" spans="6:52">
      <c r="F256" s="3">
        <v>374</v>
      </c>
      <c r="G256" s="15">
        <v>0.3</v>
      </c>
      <c r="H256" s="83">
        <v>7.1597164887946558</v>
      </c>
      <c r="I256" s="3" t="s">
        <v>1530</v>
      </c>
      <c r="AV256" s="3"/>
      <c r="AW256" s="15"/>
      <c r="AX256" s="83"/>
      <c r="AY256" s="3"/>
      <c r="AZ256" s="3"/>
    </row>
    <row r="257" spans="6:52">
      <c r="F257" s="3">
        <v>374</v>
      </c>
      <c r="G257" s="15">
        <v>0.1</v>
      </c>
      <c r="H257" s="83">
        <v>15.56671390437028</v>
      </c>
      <c r="I257" s="3" t="s">
        <v>1530</v>
      </c>
      <c r="AV257" s="3"/>
      <c r="AW257" s="15"/>
      <c r="AX257" s="83"/>
      <c r="AY257" s="3"/>
      <c r="AZ257" s="3"/>
    </row>
    <row r="258" spans="6:52">
      <c r="F258" s="3">
        <v>374</v>
      </c>
      <c r="G258" s="15">
        <v>0.3</v>
      </c>
      <c r="H258" s="83">
        <v>15.963576017436953</v>
      </c>
      <c r="I258" s="3" t="s">
        <v>1530</v>
      </c>
      <c r="AV258" s="3"/>
      <c r="AW258" s="15"/>
      <c r="AX258" s="83"/>
      <c r="AY258" s="3"/>
      <c r="AZ258" s="3"/>
    </row>
    <row r="259" spans="6:52">
      <c r="F259" s="3">
        <v>374</v>
      </c>
      <c r="G259" s="15">
        <v>0.1</v>
      </c>
      <c r="H259" s="83">
        <v>1.911417524157849</v>
      </c>
      <c r="I259" s="3" t="s">
        <v>1534</v>
      </c>
      <c r="AV259" s="3"/>
      <c r="AW259" s="15"/>
      <c r="AX259" s="83"/>
      <c r="AY259" s="3"/>
      <c r="AZ259" s="3"/>
    </row>
    <row r="260" spans="6:52">
      <c r="F260" s="3">
        <v>374</v>
      </c>
      <c r="G260" s="15">
        <v>0.3</v>
      </c>
      <c r="H260" s="83">
        <v>3.272087626100725</v>
      </c>
      <c r="I260" s="3" t="s">
        <v>1534</v>
      </c>
      <c r="AV260" s="3"/>
      <c r="AW260" s="15"/>
      <c r="AX260" s="83"/>
      <c r="AY260" s="3"/>
      <c r="AZ260" s="3"/>
    </row>
    <row r="261" spans="6:52">
      <c r="F261" s="3">
        <v>374</v>
      </c>
      <c r="G261" s="15">
        <v>0.1</v>
      </c>
      <c r="H261" s="83">
        <v>1.911417524157849</v>
      </c>
      <c r="I261" s="3" t="s">
        <v>1534</v>
      </c>
      <c r="AV261" s="3"/>
      <c r="AW261" s="15"/>
      <c r="AX261" s="83"/>
      <c r="AY261" s="3"/>
      <c r="AZ261" s="3"/>
    </row>
    <row r="262" spans="6:52">
      <c r="F262" s="3">
        <v>374</v>
      </c>
      <c r="G262" s="15">
        <v>0.3</v>
      </c>
      <c r="H262" s="83">
        <v>3.272087626100725</v>
      </c>
      <c r="I262" s="3" t="s">
        <v>1534</v>
      </c>
      <c r="AV262" s="3"/>
      <c r="AW262" s="15"/>
      <c r="AX262" s="83"/>
      <c r="AY262" s="3"/>
      <c r="AZ262" s="3"/>
    </row>
    <row r="263" spans="6:52">
      <c r="F263" s="3">
        <v>374</v>
      </c>
      <c r="G263" s="15">
        <v>0.1</v>
      </c>
      <c r="H263" s="83">
        <v>7.4593878802939804</v>
      </c>
      <c r="I263" s="3" t="s">
        <v>1534</v>
      </c>
      <c r="AV263" s="3"/>
      <c r="AW263" s="15"/>
      <c r="AX263" s="83"/>
      <c r="AY263" s="3"/>
      <c r="AZ263" s="3"/>
    </row>
    <row r="264" spans="6:52">
      <c r="F264" s="3">
        <v>374</v>
      </c>
      <c r="G264" s="15">
        <v>0.3</v>
      </c>
      <c r="H264" s="83">
        <v>7.6132731894422809</v>
      </c>
      <c r="I264" s="3" t="s">
        <v>1534</v>
      </c>
      <c r="AV264" s="3"/>
      <c r="AW264" s="15"/>
      <c r="AX264" s="83"/>
      <c r="AY264" s="3"/>
      <c r="AZ264" s="3"/>
    </row>
    <row r="265" spans="6:52">
      <c r="F265" s="3">
        <v>374</v>
      </c>
      <c r="G265" s="15">
        <v>0.1</v>
      </c>
      <c r="H265" s="83">
        <v>3.2801868528980034</v>
      </c>
      <c r="I265" s="3" t="s">
        <v>1507</v>
      </c>
      <c r="AV265" s="3"/>
      <c r="AW265" s="15"/>
      <c r="AX265" s="83"/>
      <c r="AY265" s="3"/>
      <c r="AZ265" s="3"/>
    </row>
    <row r="266" spans="6:52">
      <c r="F266" s="3">
        <v>374</v>
      </c>
      <c r="G266" s="15">
        <v>0.3</v>
      </c>
      <c r="H266" s="83">
        <v>5.6046649437170828</v>
      </c>
      <c r="I266" s="3" t="s">
        <v>1507</v>
      </c>
      <c r="AV266" s="3"/>
      <c r="AW266" s="15"/>
      <c r="AX266" s="83"/>
      <c r="AY266" s="3"/>
      <c r="AZ266" s="3"/>
    </row>
    <row r="267" spans="6:52">
      <c r="F267" s="3">
        <v>374</v>
      </c>
      <c r="G267" s="15">
        <v>0.1</v>
      </c>
      <c r="H267" s="83">
        <v>3.2801868528980034</v>
      </c>
      <c r="I267" s="3" t="s">
        <v>1507</v>
      </c>
      <c r="AV267" s="3"/>
      <c r="AW267" s="15"/>
      <c r="AX267" s="83"/>
      <c r="AY267" s="3"/>
      <c r="AZ267" s="3"/>
    </row>
    <row r="268" spans="6:52">
      <c r="F268" s="3">
        <v>374</v>
      </c>
      <c r="G268" s="15">
        <v>0.3</v>
      </c>
      <c r="H268" s="83">
        <v>5.6046649437170828</v>
      </c>
      <c r="I268" s="3" t="s">
        <v>1507</v>
      </c>
      <c r="AV268" s="3"/>
      <c r="AW268" s="15"/>
      <c r="AX268" s="83"/>
      <c r="AY268" s="3"/>
      <c r="AZ268" s="3"/>
    </row>
    <row r="269" spans="6:52">
      <c r="F269" s="3">
        <v>374</v>
      </c>
      <c r="G269" s="15">
        <v>0.1</v>
      </c>
      <c r="H269" s="83">
        <v>21.122783487303689</v>
      </c>
      <c r="I269" s="3" t="s">
        <v>1507</v>
      </c>
      <c r="AV269" s="3"/>
      <c r="AW269" s="15"/>
      <c r="AX269" s="83"/>
      <c r="AY269" s="3"/>
      <c r="AZ269" s="3"/>
    </row>
    <row r="270" spans="6:52">
      <c r="F270" s="3">
        <v>374</v>
      </c>
      <c r="G270" s="15">
        <v>0.3</v>
      </c>
      <c r="H270" s="83">
        <v>21.722126270302336</v>
      </c>
      <c r="I270" s="3" t="s">
        <v>1507</v>
      </c>
      <c r="AV270" s="3"/>
      <c r="AW270" s="15"/>
      <c r="AX270" s="83"/>
      <c r="AY270" s="3"/>
      <c r="AZ270" s="3"/>
    </row>
    <row r="271" spans="6:52">
      <c r="F271" s="3">
        <v>374</v>
      </c>
      <c r="G271" s="15">
        <v>0.1</v>
      </c>
      <c r="H271" s="83">
        <v>4.543666233273532</v>
      </c>
      <c r="I271" s="3" t="s">
        <v>1516</v>
      </c>
      <c r="AV271" s="3"/>
      <c r="AW271" s="15"/>
      <c r="AX271" s="83"/>
      <c r="AY271" s="3"/>
      <c r="AZ271" s="3"/>
    </row>
    <row r="272" spans="6:52">
      <c r="F272" s="3">
        <v>374</v>
      </c>
      <c r="G272" s="15">
        <v>0.3</v>
      </c>
      <c r="H272" s="83">
        <v>4.9729252535293194</v>
      </c>
      <c r="I272" s="3" t="s">
        <v>1516</v>
      </c>
      <c r="AV272" s="3"/>
      <c r="AW272" s="15"/>
      <c r="AX272" s="83"/>
      <c r="AY272" s="3"/>
      <c r="AZ272" s="3"/>
    </row>
    <row r="273" spans="6:52">
      <c r="F273" s="3">
        <v>374</v>
      </c>
      <c r="G273" s="15">
        <v>0.1</v>
      </c>
      <c r="H273" s="83">
        <v>1.7008376274285946</v>
      </c>
      <c r="I273" s="3" t="s">
        <v>1516</v>
      </c>
      <c r="AV273" s="3"/>
      <c r="AW273" s="15"/>
      <c r="AX273" s="83"/>
      <c r="AY273" s="3"/>
      <c r="AZ273" s="3"/>
    </row>
    <row r="274" spans="6:52">
      <c r="F274" s="3">
        <v>374</v>
      </c>
      <c r="G274" s="15">
        <v>0.3</v>
      </c>
      <c r="H274" s="83">
        <v>5.5479703561361298</v>
      </c>
      <c r="I274" s="3" t="s">
        <v>1516</v>
      </c>
      <c r="AV274" s="3"/>
      <c r="AW274" s="15"/>
      <c r="AX274" s="83"/>
      <c r="AY274" s="3"/>
      <c r="AZ274" s="3"/>
    </row>
    <row r="275" spans="6:52">
      <c r="F275" s="3">
        <v>374</v>
      </c>
      <c r="G275" s="15">
        <v>0.1</v>
      </c>
      <c r="H275" s="83">
        <v>0</v>
      </c>
      <c r="I275" s="3" t="s">
        <v>1516</v>
      </c>
      <c r="AV275" s="3"/>
      <c r="AW275" s="15"/>
      <c r="AX275" s="83"/>
      <c r="AY275" s="3"/>
      <c r="AZ275" s="3"/>
    </row>
    <row r="276" spans="6:52">
      <c r="F276" s="3">
        <v>374</v>
      </c>
      <c r="G276" s="15">
        <v>0.3</v>
      </c>
      <c r="H276" s="83">
        <v>8.4636920031565772</v>
      </c>
      <c r="I276" s="3" t="s">
        <v>1516</v>
      </c>
      <c r="AV276" s="3"/>
      <c r="AW276" s="15"/>
      <c r="AX276" s="83"/>
      <c r="AY276" s="3"/>
      <c r="AZ276" s="3"/>
    </row>
    <row r="277" spans="6:52">
      <c r="F277" s="19">
        <v>355</v>
      </c>
      <c r="G277" s="15">
        <v>0.05</v>
      </c>
      <c r="H277" s="83">
        <v>6.5249728561375298</v>
      </c>
      <c r="I277" s="19" t="s">
        <v>1518</v>
      </c>
      <c r="AV277" s="19"/>
      <c r="AW277" s="15"/>
      <c r="AX277" s="83"/>
      <c r="AY277" s="19"/>
      <c r="AZ277" s="19"/>
    </row>
    <row r="278" spans="6:52">
      <c r="F278" s="19">
        <v>355</v>
      </c>
      <c r="G278" s="15">
        <v>0.1</v>
      </c>
      <c r="H278" s="83">
        <v>6.9165737408263803</v>
      </c>
      <c r="I278" s="19" t="s">
        <v>1518</v>
      </c>
      <c r="AV278" s="19"/>
      <c r="AW278" s="15"/>
      <c r="AX278" s="83"/>
      <c r="AY278" s="19"/>
      <c r="AZ278" s="19"/>
    </row>
    <row r="279" spans="6:52">
      <c r="F279" s="19">
        <v>355</v>
      </c>
      <c r="G279" s="15">
        <v>0.15</v>
      </c>
      <c r="H279" s="83">
        <v>7.1923345732381625</v>
      </c>
      <c r="I279" s="19" t="s">
        <v>1518</v>
      </c>
      <c r="AV279" s="19"/>
      <c r="AW279" s="15"/>
      <c r="AX279" s="83"/>
      <c r="AY279" s="19"/>
      <c r="AZ279" s="19"/>
    </row>
    <row r="280" spans="6:52">
      <c r="F280" s="19">
        <v>355</v>
      </c>
      <c r="G280" s="15">
        <v>0.2</v>
      </c>
      <c r="H280" s="83">
        <v>7.8350930933949936</v>
      </c>
      <c r="I280" s="19" t="s">
        <v>1518</v>
      </c>
      <c r="AV280" s="19"/>
      <c r="AW280" s="15"/>
      <c r="AX280" s="83"/>
      <c r="AY280" s="19"/>
      <c r="AZ280" s="19"/>
    </row>
    <row r="281" spans="6:52">
      <c r="F281" s="19">
        <v>355</v>
      </c>
      <c r="G281" s="15">
        <v>0.25</v>
      </c>
      <c r="H281" s="83">
        <v>7.5111510003015987</v>
      </c>
      <c r="I281" s="19" t="s">
        <v>1518</v>
      </c>
      <c r="AV281" s="19"/>
      <c r="AW281" s="15"/>
      <c r="AX281" s="83"/>
      <c r="AY281" s="19"/>
      <c r="AZ281" s="19"/>
    </row>
    <row r="282" spans="6:52">
      <c r="F282" s="19">
        <v>355</v>
      </c>
      <c r="G282" s="15">
        <v>0.3</v>
      </c>
      <c r="H282" s="83">
        <v>7.4998745350356897</v>
      </c>
      <c r="I282" s="19" t="s">
        <v>1518</v>
      </c>
      <c r="AV282" s="19"/>
      <c r="AW282" s="15"/>
      <c r="AX282" s="83"/>
      <c r="AY282" s="19"/>
      <c r="AZ282" s="19"/>
    </row>
    <row r="283" spans="6:52">
      <c r="F283" s="19">
        <v>355</v>
      </c>
      <c r="G283" s="15">
        <v>0.35</v>
      </c>
      <c r="H283" s="83">
        <v>7.3050992258972567</v>
      </c>
      <c r="I283" s="19" t="s">
        <v>1518</v>
      </c>
      <c r="AV283" s="19"/>
      <c r="AW283" s="15"/>
      <c r="AX283" s="83"/>
      <c r="AY283" s="19"/>
      <c r="AZ283" s="19"/>
    </row>
    <row r="284" spans="6:52">
      <c r="F284" s="19">
        <v>355</v>
      </c>
      <c r="G284" s="15">
        <v>0.4</v>
      </c>
      <c r="H284" s="83">
        <v>7.6515942495224705</v>
      </c>
      <c r="I284" s="19" t="s">
        <v>1518</v>
      </c>
      <c r="AV284" s="19"/>
      <c r="AW284" s="15"/>
      <c r="AX284" s="83"/>
      <c r="AY284" s="19"/>
      <c r="AZ284" s="19"/>
    </row>
    <row r="285" spans="6:52">
      <c r="F285" s="19">
        <v>355</v>
      </c>
      <c r="G285" s="15">
        <v>0.05</v>
      </c>
      <c r="H285" s="83">
        <v>8.5403847391173215</v>
      </c>
      <c r="I285" s="19" t="s">
        <v>1518</v>
      </c>
      <c r="AV285" s="19"/>
      <c r="AW285" s="15"/>
      <c r="AX285" s="83"/>
      <c r="AY285" s="19"/>
      <c r="AZ285" s="19"/>
    </row>
    <row r="286" spans="6:52">
      <c r="F286" s="19">
        <v>355</v>
      </c>
      <c r="G286" s="15">
        <v>0.1</v>
      </c>
      <c r="H286" s="83">
        <v>8.1098287926007853</v>
      </c>
      <c r="I286" s="19" t="s">
        <v>1518</v>
      </c>
      <c r="AV286" s="19"/>
      <c r="AW286" s="15"/>
      <c r="AX286" s="83"/>
      <c r="AY286" s="19"/>
      <c r="AZ286" s="19"/>
    </row>
    <row r="287" spans="6:52">
      <c r="F287" s="19">
        <v>355</v>
      </c>
      <c r="G287" s="15">
        <v>0.15</v>
      </c>
      <c r="H287" s="83">
        <v>8.7474616467276576</v>
      </c>
      <c r="I287" s="19" t="s">
        <v>1518</v>
      </c>
      <c r="AV287" s="19"/>
      <c r="AW287" s="15"/>
      <c r="AX287" s="83"/>
      <c r="AY287" s="19"/>
      <c r="AZ287" s="19"/>
    </row>
    <row r="288" spans="6:52">
      <c r="F288" s="19">
        <v>355</v>
      </c>
      <c r="G288" s="15">
        <v>0.2</v>
      </c>
      <c r="H288" s="83">
        <v>8.5055302101136032</v>
      </c>
      <c r="I288" s="19" t="s">
        <v>1518</v>
      </c>
      <c r="AV288" s="19"/>
      <c r="AW288" s="15"/>
      <c r="AX288" s="83"/>
      <c r="AY288" s="19"/>
      <c r="AZ288" s="19"/>
    </row>
    <row r="289" spans="6:52">
      <c r="F289" s="19">
        <v>355</v>
      </c>
      <c r="G289" s="15">
        <v>0.25</v>
      </c>
      <c r="H289" s="83">
        <v>7.9468326128480955</v>
      </c>
      <c r="I289" s="19" t="s">
        <v>1518</v>
      </c>
      <c r="AV289" s="19"/>
      <c r="AW289" s="15"/>
      <c r="AX289" s="83"/>
      <c r="AY289" s="19"/>
      <c r="AZ289" s="19"/>
    </row>
    <row r="290" spans="6:52" ht="14">
      <c r="F290" s="38">
        <v>123</v>
      </c>
      <c r="G290" s="15">
        <v>1</v>
      </c>
      <c r="H290" s="83">
        <v>4.7454308617234471</v>
      </c>
      <c r="I290" s="38" t="s">
        <v>1814</v>
      </c>
      <c r="AV290" s="38"/>
      <c r="AW290" s="15"/>
      <c r="AX290" s="83"/>
      <c r="AY290" s="38"/>
      <c r="AZ290" s="38"/>
    </row>
    <row r="291" spans="6:52" ht="14">
      <c r="F291" s="38">
        <v>123</v>
      </c>
      <c r="G291" s="15">
        <v>1</v>
      </c>
      <c r="H291" s="83">
        <v>2.4975951903807618</v>
      </c>
      <c r="I291" s="38" t="s">
        <v>1814</v>
      </c>
      <c r="AV291" s="38"/>
      <c r="AW291" s="15"/>
      <c r="AX291" s="83"/>
      <c r="AY291" s="38"/>
      <c r="AZ291" s="38"/>
    </row>
  </sheetData>
  <sortState xmlns:xlrd2="http://schemas.microsoft.com/office/spreadsheetml/2017/richdata2" ref="AC3:AD90">
    <sortCondition ref="AC3:AC90"/>
  </sortState>
  <mergeCells count="8">
    <mergeCell ref="AV1:AX1"/>
    <mergeCell ref="AF2:AG2"/>
    <mergeCell ref="A1:C1"/>
    <mergeCell ref="F1:H1"/>
    <mergeCell ref="K1:R1"/>
    <mergeCell ref="AP1:AR1"/>
    <mergeCell ref="T1:AA1"/>
    <mergeCell ref="AC2:AD2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243"/>
  <sheetViews>
    <sheetView workbookViewId="0">
      <selection activeCell="R23" sqref="R23"/>
    </sheetView>
  </sheetViews>
  <sheetFormatPr baseColWidth="10" defaultColWidth="8.83203125" defaultRowHeight="13"/>
  <cols>
    <col min="5" max="7" width="9.1640625" style="22"/>
  </cols>
  <sheetData>
    <row r="1" spans="1:18">
      <c r="A1" t="s">
        <v>6</v>
      </c>
      <c r="B1" t="s">
        <v>1775</v>
      </c>
    </row>
    <row r="2" spans="1:18">
      <c r="A2">
        <v>1996</v>
      </c>
      <c r="B2" s="75"/>
      <c r="E2" s="22" t="s">
        <v>1777</v>
      </c>
    </row>
    <row r="3" spans="1:18">
      <c r="A3">
        <v>1997</v>
      </c>
      <c r="B3" s="75"/>
      <c r="E3" s="27" t="s">
        <v>1536</v>
      </c>
    </row>
    <row r="4" spans="1:18">
      <c r="A4">
        <v>1998</v>
      </c>
      <c r="B4" s="75"/>
    </row>
    <row r="5" spans="1:18">
      <c r="A5">
        <v>1999</v>
      </c>
      <c r="B5" s="75"/>
      <c r="E5" s="22" t="s">
        <v>1776</v>
      </c>
      <c r="L5" s="22" t="s">
        <v>1792</v>
      </c>
    </row>
    <row r="6" spans="1:18">
      <c r="A6">
        <v>2000</v>
      </c>
      <c r="B6" s="88">
        <v>74.73</v>
      </c>
      <c r="E6" s="28" t="s">
        <v>1537</v>
      </c>
      <c r="G6" s="29">
        <v>86.8</v>
      </c>
      <c r="L6" s="74" t="s">
        <v>1791</v>
      </c>
    </row>
    <row r="7" spans="1:18">
      <c r="A7">
        <v>2001</v>
      </c>
      <c r="B7" s="88">
        <v>76.37</v>
      </c>
      <c r="E7" s="28" t="s">
        <v>1538</v>
      </c>
      <c r="G7" s="29">
        <v>87.2</v>
      </c>
      <c r="L7" s="22" t="s">
        <v>6</v>
      </c>
      <c r="M7" s="22" t="s">
        <v>1790</v>
      </c>
      <c r="N7" s="22"/>
    </row>
    <row r="8" spans="1:18">
      <c r="A8">
        <v>2002</v>
      </c>
      <c r="B8" s="88">
        <v>77.959999999999994</v>
      </c>
      <c r="E8" s="28" t="s">
        <v>1539</v>
      </c>
      <c r="G8" s="29">
        <v>87.5</v>
      </c>
      <c r="L8">
        <v>1955</v>
      </c>
      <c r="M8" s="76">
        <v>4.4340000000000002</v>
      </c>
    </row>
    <row r="9" spans="1:18">
      <c r="A9">
        <v>2003</v>
      </c>
      <c r="B9" s="88">
        <v>79.489999999999995</v>
      </c>
      <c r="E9" s="28" t="s">
        <v>1540</v>
      </c>
      <c r="G9" s="30">
        <v>88</v>
      </c>
      <c r="L9">
        <v>1956</v>
      </c>
      <c r="M9" s="76">
        <v>4.734</v>
      </c>
    </row>
    <row r="10" spans="1:18">
      <c r="A10">
        <v>2004</v>
      </c>
      <c r="B10" s="88">
        <v>81.09</v>
      </c>
      <c r="E10" s="28" t="s">
        <v>1541</v>
      </c>
      <c r="G10" s="29">
        <v>88.3</v>
      </c>
      <c r="L10">
        <v>1957</v>
      </c>
      <c r="M10" s="76">
        <v>4.9219999999999997</v>
      </c>
    </row>
    <row r="11" spans="1:18">
      <c r="A11">
        <v>2005</v>
      </c>
      <c r="B11" s="88">
        <v>82.85</v>
      </c>
      <c r="E11" s="28" t="s">
        <v>1542</v>
      </c>
      <c r="G11" s="29">
        <v>88.4</v>
      </c>
      <c r="L11">
        <v>1958</v>
      </c>
      <c r="M11" s="76">
        <v>5.0990000000000002</v>
      </c>
      <c r="Q11" t="s">
        <v>1822</v>
      </c>
    </row>
    <row r="12" spans="1:18">
      <c r="A12">
        <v>2006</v>
      </c>
      <c r="B12" s="88">
        <v>84.67</v>
      </c>
      <c r="E12" s="28" t="s">
        <v>1543</v>
      </c>
      <c r="G12" s="29">
        <v>87.8</v>
      </c>
      <c r="L12">
        <v>1959</v>
      </c>
      <c r="M12" s="76">
        <v>5.1310000000000002</v>
      </c>
      <c r="Q12" s="74" t="s">
        <v>1821</v>
      </c>
    </row>
    <row r="13" spans="1:18">
      <c r="A13">
        <v>2007</v>
      </c>
      <c r="B13" s="88">
        <v>86.65</v>
      </c>
      <c r="E13" s="28" t="s">
        <v>1544</v>
      </c>
      <c r="G13" s="29">
        <v>88.3</v>
      </c>
      <c r="L13">
        <v>1960</v>
      </c>
      <c r="M13" s="76">
        <v>5.1790000000000003</v>
      </c>
    </row>
    <row r="14" spans="1:18">
      <c r="A14">
        <v>2008</v>
      </c>
      <c r="B14" s="88">
        <v>89.82</v>
      </c>
      <c r="E14" s="28" t="s">
        <v>1545</v>
      </c>
      <c r="G14" s="29">
        <v>88.7</v>
      </c>
      <c r="L14">
        <v>1961</v>
      </c>
      <c r="M14" s="76">
        <v>5.3550000000000004</v>
      </c>
      <c r="Q14">
        <v>2000</v>
      </c>
      <c r="R14" s="88">
        <v>74.73</v>
      </c>
    </row>
    <row r="15" spans="1:18">
      <c r="A15">
        <v>2009</v>
      </c>
      <c r="B15" s="88">
        <v>90.71</v>
      </c>
      <c r="E15" s="28" t="s">
        <v>1546</v>
      </c>
      <c r="G15" s="29">
        <v>88.7</v>
      </c>
      <c r="L15">
        <v>1962</v>
      </c>
      <c r="M15" s="76">
        <v>5.5359999999999996</v>
      </c>
      <c r="Q15">
        <v>2001</v>
      </c>
      <c r="R15" s="88">
        <v>76.37</v>
      </c>
    </row>
    <row r="16" spans="1:18">
      <c r="A16">
        <v>2010</v>
      </c>
      <c r="B16" s="88">
        <v>92.6</v>
      </c>
      <c r="E16" s="28" t="s">
        <v>1547</v>
      </c>
      <c r="G16" s="29">
        <v>88.7</v>
      </c>
      <c r="L16">
        <v>1963</v>
      </c>
      <c r="M16" s="76">
        <v>5.6219999999999999</v>
      </c>
      <c r="Q16">
        <v>2002</v>
      </c>
      <c r="R16" s="88">
        <v>77.959999999999994</v>
      </c>
    </row>
    <row r="17" spans="1:18">
      <c r="A17">
        <v>2011</v>
      </c>
      <c r="B17" s="88">
        <v>95.47</v>
      </c>
      <c r="E17" s="28" t="s">
        <v>1548</v>
      </c>
      <c r="G17" s="30">
        <v>89</v>
      </c>
      <c r="L17">
        <v>1964</v>
      </c>
      <c r="M17" s="75">
        <v>5.8079999999999998</v>
      </c>
      <c r="Q17">
        <v>2003</v>
      </c>
      <c r="R17" s="88">
        <v>79.489999999999995</v>
      </c>
    </row>
    <row r="18" spans="1:18">
      <c r="A18">
        <v>2012</v>
      </c>
      <c r="B18" s="88">
        <v>97.99</v>
      </c>
      <c r="E18" s="28" t="s">
        <v>1549</v>
      </c>
      <c r="G18" s="29">
        <v>88.6</v>
      </c>
      <c r="L18">
        <v>1965</v>
      </c>
      <c r="M18" s="75">
        <v>6.1340000000000003</v>
      </c>
      <c r="Q18">
        <v>2004</v>
      </c>
      <c r="R18" s="88">
        <v>81.09</v>
      </c>
    </row>
    <row r="19" spans="1:18">
      <c r="A19">
        <v>2013</v>
      </c>
      <c r="B19" s="88">
        <v>99.47</v>
      </c>
      <c r="E19" s="28" t="s">
        <v>1550</v>
      </c>
      <c r="G19" s="29">
        <v>88.8</v>
      </c>
      <c r="L19">
        <v>1966</v>
      </c>
      <c r="M19" s="75">
        <v>6.44</v>
      </c>
      <c r="Q19">
        <v>2005</v>
      </c>
      <c r="R19" s="88">
        <v>82.85</v>
      </c>
    </row>
    <row r="20" spans="1:18">
      <c r="A20">
        <v>2014</v>
      </c>
      <c r="B20" s="88">
        <v>100.01</v>
      </c>
      <c r="E20" s="28" t="s">
        <v>1551</v>
      </c>
      <c r="G20" s="30">
        <v>89</v>
      </c>
      <c r="L20">
        <v>1967</v>
      </c>
      <c r="M20" s="75">
        <v>6.6180000000000003</v>
      </c>
      <c r="Q20">
        <v>2006</v>
      </c>
      <c r="R20" s="88">
        <v>84.67</v>
      </c>
    </row>
    <row r="21" spans="1:18">
      <c r="A21">
        <v>2015</v>
      </c>
      <c r="B21" s="88">
        <v>100</v>
      </c>
      <c r="E21" s="28" t="s">
        <v>1552</v>
      </c>
      <c r="G21" s="29">
        <v>89.4</v>
      </c>
      <c r="L21">
        <v>1968</v>
      </c>
      <c r="M21" s="75">
        <v>6.8760000000000003</v>
      </c>
      <c r="Q21">
        <v>2007</v>
      </c>
      <c r="R21" s="88">
        <v>86.65</v>
      </c>
    </row>
    <row r="22" spans="1:18">
      <c r="A22">
        <v>2016</v>
      </c>
      <c r="B22" s="88">
        <v>100.25</v>
      </c>
      <c r="E22" s="28" t="s">
        <v>1553</v>
      </c>
      <c r="G22" s="29">
        <v>89.6</v>
      </c>
      <c r="L22">
        <v>1969</v>
      </c>
      <c r="M22" s="75">
        <v>7.29</v>
      </c>
      <c r="Q22">
        <v>2008</v>
      </c>
      <c r="R22" s="88">
        <v>89.82</v>
      </c>
    </row>
    <row r="23" spans="1:18">
      <c r="A23" s="25">
        <v>2017</v>
      </c>
      <c r="B23" s="91">
        <v>101.97</v>
      </c>
      <c r="E23" s="28" t="s">
        <v>1554</v>
      </c>
      <c r="G23" s="29">
        <v>89.8</v>
      </c>
      <c r="L23">
        <v>1970</v>
      </c>
      <c r="M23" s="75">
        <v>7.9610000000000003</v>
      </c>
      <c r="Q23">
        <v>2009</v>
      </c>
      <c r="R23" s="88">
        <v>90.71</v>
      </c>
    </row>
    <row r="24" spans="1:18">
      <c r="A24">
        <v>2018</v>
      </c>
      <c r="B24" s="89">
        <v>104.13</v>
      </c>
      <c r="E24" s="28" t="s">
        <v>1555</v>
      </c>
      <c r="G24" s="29">
        <v>89.5</v>
      </c>
      <c r="L24">
        <v>1971</v>
      </c>
      <c r="M24" s="75">
        <v>8.6</v>
      </c>
      <c r="Q24">
        <v>2010</v>
      </c>
      <c r="R24" s="88">
        <v>92.6</v>
      </c>
    </row>
    <row r="25" spans="1:18">
      <c r="E25" s="28" t="s">
        <v>1556</v>
      </c>
      <c r="G25" s="30">
        <v>90</v>
      </c>
      <c r="L25">
        <v>1972</v>
      </c>
      <c r="M25" s="75">
        <v>9.2249999999999996</v>
      </c>
      <c r="Q25">
        <v>2011</v>
      </c>
      <c r="R25" s="88">
        <v>95.47</v>
      </c>
    </row>
    <row r="26" spans="1:18">
      <c r="E26" s="28" t="s">
        <v>1557</v>
      </c>
      <c r="G26" s="29">
        <v>90.3</v>
      </c>
      <c r="L26">
        <v>1973</v>
      </c>
      <c r="M26" s="75">
        <v>10.006</v>
      </c>
      <c r="Q26">
        <v>2012</v>
      </c>
      <c r="R26" s="88">
        <v>97.99</v>
      </c>
    </row>
    <row r="27" spans="1:18">
      <c r="E27" s="28" t="s">
        <v>1558</v>
      </c>
      <c r="G27" s="29">
        <v>90.3</v>
      </c>
      <c r="L27">
        <v>1974</v>
      </c>
      <c r="M27" s="75">
        <v>11.513999999999999</v>
      </c>
      <c r="Q27">
        <v>2013</v>
      </c>
      <c r="R27" s="88">
        <v>99.47</v>
      </c>
    </row>
    <row r="28" spans="1:18">
      <c r="E28" s="28" t="s">
        <v>1559</v>
      </c>
      <c r="G28" s="29">
        <v>90.4</v>
      </c>
      <c r="L28">
        <v>1975</v>
      </c>
      <c r="M28" s="75">
        <v>14.497</v>
      </c>
      <c r="Q28">
        <v>2014</v>
      </c>
      <c r="R28" s="88">
        <v>100.01</v>
      </c>
    </row>
    <row r="29" spans="1:18">
      <c r="E29" s="28" t="s">
        <v>1560</v>
      </c>
      <c r="G29" s="29">
        <v>90.5</v>
      </c>
      <c r="L29">
        <v>1976</v>
      </c>
      <c r="M29" s="75">
        <v>16.658000000000001</v>
      </c>
      <c r="Q29">
        <v>2015</v>
      </c>
      <c r="R29" s="88">
        <v>100</v>
      </c>
    </row>
    <row r="30" spans="1:18">
      <c r="E30" s="28" t="s">
        <v>1561</v>
      </c>
      <c r="G30" s="29">
        <v>89.9</v>
      </c>
      <c r="L30">
        <v>1977</v>
      </c>
      <c r="M30" s="75">
        <v>18.920000000000002</v>
      </c>
      <c r="Q30">
        <v>2016</v>
      </c>
      <c r="R30" s="88">
        <v>100.25</v>
      </c>
    </row>
    <row r="31" spans="1:18">
      <c r="E31" s="28" t="s">
        <v>1562</v>
      </c>
      <c r="G31" s="29">
        <v>90.3</v>
      </c>
      <c r="L31">
        <v>1978</v>
      </c>
      <c r="M31" s="75">
        <v>21.100999999999999</v>
      </c>
      <c r="Q31">
        <v>2017</v>
      </c>
      <c r="R31" s="88">
        <v>101.97</v>
      </c>
    </row>
    <row r="32" spans="1:18">
      <c r="E32" s="28" t="s">
        <v>1563</v>
      </c>
      <c r="G32" s="29">
        <v>90.5</v>
      </c>
      <c r="L32">
        <v>1979</v>
      </c>
      <c r="M32" s="75">
        <v>24.085999999999999</v>
      </c>
      <c r="Q32">
        <v>2018</v>
      </c>
      <c r="R32" s="89">
        <v>104.13</v>
      </c>
    </row>
    <row r="33" spans="5:13">
      <c r="E33" s="28" t="s">
        <v>1564</v>
      </c>
      <c r="G33" s="30">
        <v>91</v>
      </c>
      <c r="L33">
        <v>1980</v>
      </c>
      <c r="M33" s="75">
        <v>28.896000000000001</v>
      </c>
    </row>
    <row r="34" spans="5:13">
      <c r="E34" s="28" t="s">
        <v>1565</v>
      </c>
      <c r="G34" s="29">
        <v>91.5</v>
      </c>
      <c r="L34">
        <v>1981</v>
      </c>
      <c r="M34" s="75">
        <v>32.238</v>
      </c>
    </row>
    <row r="35" spans="5:13">
      <c r="E35" s="28" t="s">
        <v>1566</v>
      </c>
      <c r="G35" s="29">
        <v>91.3</v>
      </c>
      <c r="L35">
        <v>1982</v>
      </c>
      <c r="M35" s="75">
        <v>34.603000000000002</v>
      </c>
    </row>
    <row r="36" spans="5:13">
      <c r="E36" s="28" t="s">
        <v>1567</v>
      </c>
      <c r="G36" s="29">
        <v>90.8</v>
      </c>
      <c r="L36">
        <v>1983</v>
      </c>
      <c r="M36" s="75">
        <v>36.381</v>
      </c>
    </row>
    <row r="37" spans="5:13">
      <c r="E37" s="28" t="s">
        <v>1568</v>
      </c>
      <c r="G37" s="29">
        <v>91.2</v>
      </c>
      <c r="L37">
        <v>1984</v>
      </c>
      <c r="M37" s="75">
        <v>38.218000000000004</v>
      </c>
    </row>
    <row r="38" spans="5:13">
      <c r="E38" s="28" t="s">
        <v>1569</v>
      </c>
      <c r="G38" s="29">
        <v>91.6</v>
      </c>
      <c r="L38">
        <v>1985</v>
      </c>
      <c r="M38" s="75">
        <v>40.414999999999999</v>
      </c>
    </row>
    <row r="39" spans="5:13">
      <c r="E39" s="28" t="s">
        <v>1570</v>
      </c>
      <c r="G39" s="29">
        <v>91.6</v>
      </c>
      <c r="L39">
        <v>1986</v>
      </c>
      <c r="M39" s="75">
        <v>42.168999999999997</v>
      </c>
    </row>
    <row r="40" spans="5:13">
      <c r="E40" s="28" t="s">
        <v>1571</v>
      </c>
      <c r="G40" s="29">
        <v>91.7</v>
      </c>
      <c r="L40">
        <v>1987</v>
      </c>
      <c r="M40" s="75">
        <v>44.365000000000002</v>
      </c>
    </row>
    <row r="41" spans="5:13">
      <c r="E41" s="28" t="s">
        <v>1572</v>
      </c>
      <c r="G41" s="29">
        <v>91.9</v>
      </c>
      <c r="L41">
        <v>1988</v>
      </c>
      <c r="M41" s="75">
        <v>47</v>
      </c>
    </row>
    <row r="42" spans="5:13">
      <c r="E42" s="28" t="s">
        <v>1573</v>
      </c>
      <c r="G42" s="29">
        <v>91.4</v>
      </c>
      <c r="L42">
        <v>1989</v>
      </c>
      <c r="M42" s="75">
        <v>50.768999999999998</v>
      </c>
    </row>
    <row r="43" spans="5:13">
      <c r="E43" s="28" t="s">
        <v>1574</v>
      </c>
      <c r="G43" s="29">
        <v>91.5</v>
      </c>
      <c r="L43">
        <v>1990</v>
      </c>
      <c r="M43" s="75">
        <v>54.890999999999998</v>
      </c>
    </row>
    <row r="44" spans="5:13">
      <c r="E44" s="28" t="s">
        <v>1575</v>
      </c>
      <c r="G44" s="30">
        <v>92</v>
      </c>
      <c r="L44">
        <v>1991</v>
      </c>
      <c r="M44" s="75">
        <v>58.493000000000002</v>
      </c>
    </row>
    <row r="45" spans="5:13">
      <c r="E45" s="28" t="s">
        <v>1576</v>
      </c>
      <c r="G45" s="29">
        <v>92.4</v>
      </c>
      <c r="L45">
        <v>1992</v>
      </c>
      <c r="M45" s="75">
        <v>60.404000000000003</v>
      </c>
    </row>
    <row r="46" spans="5:13">
      <c r="E46" s="28" t="s">
        <v>1577</v>
      </c>
      <c r="G46" s="29">
        <v>92.7</v>
      </c>
      <c r="L46">
        <v>1993</v>
      </c>
      <c r="M46" s="75">
        <v>61.960999999999999</v>
      </c>
    </row>
    <row r="47" spans="5:13">
      <c r="E47" s="28" t="s">
        <v>1578</v>
      </c>
      <c r="G47" s="29">
        <v>92.6</v>
      </c>
      <c r="L47">
        <v>1994</v>
      </c>
      <c r="M47" s="75">
        <v>62.719000000000001</v>
      </c>
    </row>
    <row r="48" spans="5:13">
      <c r="E48" s="28" t="s">
        <v>1579</v>
      </c>
      <c r="G48" s="30">
        <v>92</v>
      </c>
      <c r="L48">
        <v>1995</v>
      </c>
      <c r="M48" s="75">
        <v>64.272999999999996</v>
      </c>
    </row>
    <row r="49" spans="5:13">
      <c r="E49" s="28" t="s">
        <v>1580</v>
      </c>
      <c r="G49" s="29">
        <v>92.3</v>
      </c>
      <c r="L49">
        <v>1996</v>
      </c>
      <c r="M49" s="73">
        <v>66.858000000000004</v>
      </c>
    </row>
    <row r="50" spans="5:13">
      <c r="E50" s="28" t="s">
        <v>1581</v>
      </c>
      <c r="G50" s="29">
        <v>92.7</v>
      </c>
      <c r="L50">
        <v>1997</v>
      </c>
      <c r="M50" s="73">
        <v>68.411000000000001</v>
      </c>
    </row>
    <row r="51" spans="5:13">
      <c r="E51" s="28" t="s">
        <v>1582</v>
      </c>
      <c r="G51" s="29">
        <v>92.6</v>
      </c>
      <c r="L51">
        <v>1998</v>
      </c>
      <c r="M51" s="73">
        <v>69.515000000000001</v>
      </c>
    </row>
    <row r="52" spans="5:13">
      <c r="E52" s="28" t="s">
        <v>1583</v>
      </c>
      <c r="G52" s="29">
        <v>92.7</v>
      </c>
      <c r="L52">
        <v>1999</v>
      </c>
      <c r="M52" s="73">
        <v>70.289000000000001</v>
      </c>
    </row>
    <row r="53" spans="5:13">
      <c r="E53" s="28" t="s">
        <v>1584</v>
      </c>
      <c r="G53" s="30">
        <v>93</v>
      </c>
      <c r="L53">
        <v>2000</v>
      </c>
      <c r="M53" s="73">
        <v>71.911000000000001</v>
      </c>
    </row>
    <row r="54" spans="5:13">
      <c r="E54" s="28" t="s">
        <v>1585</v>
      </c>
      <c r="G54" s="29">
        <v>92.1</v>
      </c>
      <c r="L54">
        <v>2001</v>
      </c>
      <c r="M54" s="73">
        <v>72.668000000000006</v>
      </c>
    </row>
    <row r="55" spans="5:13">
      <c r="E55" s="28" t="s">
        <v>1586</v>
      </c>
      <c r="G55" s="29">
        <v>92.4</v>
      </c>
      <c r="L55">
        <v>2002</v>
      </c>
      <c r="M55" s="73">
        <v>74.488</v>
      </c>
    </row>
    <row r="56" spans="5:13">
      <c r="E56" s="28" t="s">
        <v>1587</v>
      </c>
      <c r="G56" s="29">
        <v>92.6</v>
      </c>
      <c r="L56">
        <v>2003</v>
      </c>
      <c r="M56" s="73">
        <v>76.522000000000006</v>
      </c>
    </row>
    <row r="57" spans="5:13">
      <c r="E57" s="28" t="s">
        <v>1588</v>
      </c>
      <c r="G57" s="29">
        <v>92.9</v>
      </c>
      <c r="L57">
        <v>2004</v>
      </c>
      <c r="M57" s="73">
        <v>78.742999999999995</v>
      </c>
    </row>
    <row r="58" spans="5:13">
      <c r="E58" s="28" t="s">
        <v>1589</v>
      </c>
      <c r="G58" s="29">
        <v>93.2</v>
      </c>
      <c r="L58">
        <v>2005</v>
      </c>
      <c r="M58" s="73">
        <v>81.036000000000001</v>
      </c>
    </row>
    <row r="59" spans="5:13">
      <c r="E59" s="28" t="s">
        <v>1590</v>
      </c>
      <c r="G59" s="29">
        <v>93.3</v>
      </c>
      <c r="L59">
        <v>2006</v>
      </c>
      <c r="M59" s="73">
        <v>83.462000000000003</v>
      </c>
    </row>
    <row r="60" spans="5:13">
      <c r="E60" s="28" t="s">
        <v>1591</v>
      </c>
      <c r="G60" s="29">
        <v>92.8</v>
      </c>
      <c r="L60">
        <v>2007</v>
      </c>
      <c r="M60" s="73">
        <v>85.846000000000004</v>
      </c>
    </row>
    <row r="61" spans="5:13">
      <c r="E61" s="28" t="s">
        <v>1592</v>
      </c>
      <c r="G61" s="29">
        <v>92.8</v>
      </c>
      <c r="L61">
        <v>2008</v>
      </c>
      <c r="M61" s="73">
        <v>88.316999999999993</v>
      </c>
    </row>
    <row r="62" spans="5:13">
      <c r="E62" s="28" t="s">
        <v>1593</v>
      </c>
      <c r="G62" s="29">
        <v>93.6</v>
      </c>
      <c r="L62">
        <v>2009</v>
      </c>
      <c r="M62" s="73">
        <v>90.114999999999995</v>
      </c>
    </row>
    <row r="63" spans="5:13">
      <c r="E63" s="28" t="s">
        <v>1594</v>
      </c>
      <c r="G63" s="29">
        <v>93.5</v>
      </c>
      <c r="L63">
        <v>2010</v>
      </c>
      <c r="M63" s="73">
        <v>92.918000000000006</v>
      </c>
    </row>
    <row r="64" spans="5:13">
      <c r="E64" s="28" t="s">
        <v>1595</v>
      </c>
      <c r="G64" s="29">
        <v>93.7</v>
      </c>
      <c r="L64">
        <v>2011</v>
      </c>
      <c r="M64" s="73">
        <v>94.867000000000004</v>
      </c>
    </row>
    <row r="65" spans="5:13">
      <c r="E65" s="28" t="s">
        <v>1596</v>
      </c>
      <c r="G65" s="29">
        <v>93.7</v>
      </c>
      <c r="L65">
        <v>2012</v>
      </c>
      <c r="M65" s="73">
        <v>96.408000000000001</v>
      </c>
    </row>
    <row r="66" spans="5:13">
      <c r="E66" s="28" t="s">
        <v>1597</v>
      </c>
      <c r="G66" s="29">
        <v>92.9</v>
      </c>
      <c r="L66">
        <v>2013</v>
      </c>
      <c r="M66" s="73">
        <v>98.319000000000003</v>
      </c>
    </row>
    <row r="67" spans="5:13">
      <c r="E67" s="28" t="s">
        <v>1598</v>
      </c>
      <c r="G67" s="29">
        <v>93.1</v>
      </c>
      <c r="L67">
        <v>2014</v>
      </c>
      <c r="M67" s="73">
        <v>100</v>
      </c>
    </row>
    <row r="68" spans="5:13">
      <c r="E68" s="28" t="s">
        <v>1599</v>
      </c>
      <c r="G68" s="29">
        <v>93.4</v>
      </c>
      <c r="L68">
        <v>2015</v>
      </c>
      <c r="M68" s="73">
        <v>101.2</v>
      </c>
    </row>
    <row r="69" spans="5:13">
      <c r="E69" s="28" t="s">
        <v>1600</v>
      </c>
      <c r="G69" s="30">
        <v>94</v>
      </c>
    </row>
    <row r="70" spans="5:13">
      <c r="E70" s="28" t="s">
        <v>1601</v>
      </c>
      <c r="G70" s="29">
        <v>94.7</v>
      </c>
    </row>
    <row r="71" spans="5:13">
      <c r="E71" s="28" t="s">
        <v>1602</v>
      </c>
      <c r="G71" s="29">
        <v>94.9</v>
      </c>
    </row>
    <row r="72" spans="5:13">
      <c r="E72" s="28" t="s">
        <v>1603</v>
      </c>
      <c r="G72" s="29">
        <v>94.2</v>
      </c>
    </row>
    <row r="73" spans="5:13">
      <c r="E73" s="28" t="s">
        <v>1604</v>
      </c>
      <c r="G73" s="29">
        <v>94.5</v>
      </c>
    </row>
    <row r="74" spans="5:13">
      <c r="E74" s="28" t="s">
        <v>1605</v>
      </c>
      <c r="G74" s="29">
        <v>94.8</v>
      </c>
    </row>
    <row r="75" spans="5:13">
      <c r="E75" s="28" t="s">
        <v>1606</v>
      </c>
      <c r="G75" s="29">
        <v>94.7</v>
      </c>
    </row>
    <row r="76" spans="5:13">
      <c r="E76" s="28" t="s">
        <v>1607</v>
      </c>
      <c r="G76" s="29">
        <v>94.5</v>
      </c>
    </row>
    <row r="77" spans="5:13">
      <c r="E77" s="28" t="s">
        <v>1608</v>
      </c>
      <c r="G77" s="29">
        <v>94.7</v>
      </c>
    </row>
    <row r="78" spans="5:13">
      <c r="E78" s="28" t="s">
        <v>1609</v>
      </c>
      <c r="G78" s="29">
        <v>94.4</v>
      </c>
    </row>
    <row r="79" spans="5:13">
      <c r="E79" s="28" t="s">
        <v>1610</v>
      </c>
      <c r="G79" s="29">
        <v>94.5</v>
      </c>
    </row>
    <row r="80" spans="5:13">
      <c r="E80" s="28" t="s">
        <v>1611</v>
      </c>
      <c r="G80" s="29">
        <v>94.9</v>
      </c>
    </row>
    <row r="81" spans="5:7">
      <c r="E81" s="28" t="s">
        <v>1612</v>
      </c>
      <c r="G81" s="29">
        <v>95.3</v>
      </c>
    </row>
    <row r="82" spans="5:7">
      <c r="E82" s="28" t="s">
        <v>1613</v>
      </c>
      <c r="G82" s="29">
        <v>95.5</v>
      </c>
    </row>
    <row r="83" spans="5:7">
      <c r="E83" s="28" t="s">
        <v>1614</v>
      </c>
      <c r="G83" s="29">
        <v>95.5</v>
      </c>
    </row>
    <row r="84" spans="5:7">
      <c r="E84" s="28" t="s">
        <v>1615</v>
      </c>
      <c r="G84" s="29">
        <v>95.2</v>
      </c>
    </row>
    <row r="85" spans="5:7">
      <c r="E85" s="28" t="s">
        <v>1616</v>
      </c>
      <c r="G85" s="29">
        <v>95.5</v>
      </c>
    </row>
    <row r="86" spans="5:7">
      <c r="E86" s="28" t="s">
        <v>1617</v>
      </c>
      <c r="G86" s="29">
        <v>95.7</v>
      </c>
    </row>
    <row r="87" spans="5:7">
      <c r="E87" s="28" t="s">
        <v>1618</v>
      </c>
      <c r="G87" s="29">
        <v>95.9</v>
      </c>
    </row>
    <row r="88" spans="5:7">
      <c r="E88" s="28" t="s">
        <v>1619</v>
      </c>
      <c r="G88" s="29">
        <v>95.9</v>
      </c>
    </row>
    <row r="89" spans="5:7">
      <c r="E89" s="28" t="s">
        <v>1620</v>
      </c>
      <c r="G89" s="29">
        <v>96.3</v>
      </c>
    </row>
    <row r="90" spans="5:7">
      <c r="E90" s="28" t="s">
        <v>1621</v>
      </c>
      <c r="G90" s="29">
        <v>95.7</v>
      </c>
    </row>
    <row r="91" spans="5:7">
      <c r="E91" s="28" t="s">
        <v>1622</v>
      </c>
      <c r="G91" s="30">
        <v>96</v>
      </c>
    </row>
    <row r="92" spans="5:7">
      <c r="E92" s="28" t="s">
        <v>1623</v>
      </c>
      <c r="G92" s="29">
        <v>96.3</v>
      </c>
    </row>
    <row r="93" spans="5:7">
      <c r="E93" s="28" t="s">
        <v>1624</v>
      </c>
      <c r="G93" s="29">
        <v>96.7</v>
      </c>
    </row>
    <row r="94" spans="5:7">
      <c r="E94" s="28" t="s">
        <v>1625</v>
      </c>
      <c r="G94" s="29">
        <v>96.7</v>
      </c>
    </row>
    <row r="95" spans="5:7">
      <c r="E95" s="28" t="s">
        <v>1626</v>
      </c>
      <c r="G95" s="29">
        <v>96.5</v>
      </c>
    </row>
    <row r="96" spans="5:7">
      <c r="E96" s="28" t="s">
        <v>1627</v>
      </c>
      <c r="G96" s="29">
        <v>96.5</v>
      </c>
    </row>
    <row r="97" spans="5:7">
      <c r="E97" s="28" t="s">
        <v>1628</v>
      </c>
      <c r="G97" s="29">
        <v>96.8</v>
      </c>
    </row>
    <row r="98" spans="5:7">
      <c r="E98" s="28" t="s">
        <v>1629</v>
      </c>
      <c r="G98" s="29">
        <v>97.1</v>
      </c>
    </row>
    <row r="99" spans="5:7">
      <c r="E99" s="28" t="s">
        <v>1630</v>
      </c>
      <c r="G99" s="29">
        <v>97.2</v>
      </c>
    </row>
    <row r="100" spans="5:7">
      <c r="E100" s="28" t="s">
        <v>1631</v>
      </c>
      <c r="G100" s="29">
        <v>97.2</v>
      </c>
    </row>
    <row r="101" spans="5:7">
      <c r="E101" s="28" t="s">
        <v>1632</v>
      </c>
      <c r="G101" s="29">
        <v>97.5</v>
      </c>
    </row>
    <row r="102" spans="5:7">
      <c r="E102" s="28" t="s">
        <v>1633</v>
      </c>
      <c r="G102" s="30">
        <v>97</v>
      </c>
    </row>
    <row r="103" spans="5:7">
      <c r="E103" s="28" t="s">
        <v>1634</v>
      </c>
      <c r="G103" s="29">
        <v>97.2</v>
      </c>
    </row>
    <row r="104" spans="5:7">
      <c r="E104" s="28" t="s">
        <v>1635</v>
      </c>
      <c r="G104" s="29">
        <v>97.4</v>
      </c>
    </row>
    <row r="105" spans="5:7">
      <c r="E105" s="28" t="s">
        <v>1636</v>
      </c>
      <c r="G105" s="29">
        <v>97.8</v>
      </c>
    </row>
    <row r="106" spans="5:7">
      <c r="E106" s="28" t="s">
        <v>1637</v>
      </c>
      <c r="G106" s="29">
        <v>98.1</v>
      </c>
    </row>
    <row r="107" spans="5:7">
      <c r="E107" s="28" t="s">
        <v>1638</v>
      </c>
      <c r="G107" s="29">
        <v>98.1</v>
      </c>
    </row>
    <row r="108" spans="5:7">
      <c r="E108" s="28" t="s">
        <v>1639</v>
      </c>
      <c r="G108" s="29">
        <v>97.8</v>
      </c>
    </row>
    <row r="109" spans="5:7">
      <c r="E109" s="28" t="s">
        <v>1640</v>
      </c>
      <c r="G109" s="29">
        <v>98.1</v>
      </c>
    </row>
    <row r="110" spans="5:7">
      <c r="E110" s="28" t="s">
        <v>1641</v>
      </c>
      <c r="G110" s="29">
        <v>98.2</v>
      </c>
    </row>
    <row r="111" spans="5:7">
      <c r="E111" s="28" t="s">
        <v>1642</v>
      </c>
      <c r="G111" s="29">
        <v>98.4</v>
      </c>
    </row>
    <row r="112" spans="5:7">
      <c r="E112" s="28" t="s">
        <v>1643</v>
      </c>
      <c r="G112" s="29">
        <v>98.6</v>
      </c>
    </row>
    <row r="113" spans="5:7">
      <c r="E113" s="28" t="s">
        <v>1644</v>
      </c>
      <c r="G113" s="29">
        <v>99.1</v>
      </c>
    </row>
    <row r="114" spans="5:7">
      <c r="E114" s="28" t="s">
        <v>1645</v>
      </c>
      <c r="G114" s="29">
        <v>98.6</v>
      </c>
    </row>
    <row r="115" spans="5:7">
      <c r="E115" s="28" t="s">
        <v>1646</v>
      </c>
      <c r="G115" s="29">
        <v>98.8</v>
      </c>
    </row>
    <row r="116" spans="5:7">
      <c r="E116" s="28" t="s">
        <v>1647</v>
      </c>
      <c r="G116" s="29">
        <v>99.3</v>
      </c>
    </row>
    <row r="117" spans="5:7">
      <c r="E117" s="28" t="s">
        <v>1648</v>
      </c>
      <c r="G117" s="29">
        <v>99.7</v>
      </c>
    </row>
    <row r="118" spans="5:7">
      <c r="E118" s="28" t="s">
        <v>1649</v>
      </c>
      <c r="G118" s="30">
        <v>100</v>
      </c>
    </row>
    <row r="119" spans="5:7">
      <c r="E119" s="28" t="s">
        <v>1650</v>
      </c>
      <c r="G119" s="30">
        <v>100</v>
      </c>
    </row>
    <row r="120" spans="5:7">
      <c r="E120" s="28" t="s">
        <v>1651</v>
      </c>
      <c r="G120" s="29">
        <v>100.1</v>
      </c>
    </row>
    <row r="121" spans="5:7">
      <c r="E121" s="28" t="s">
        <v>1652</v>
      </c>
      <c r="G121" s="29">
        <v>100.4</v>
      </c>
    </row>
    <row r="122" spans="5:7">
      <c r="E122" s="28" t="s">
        <v>1653</v>
      </c>
      <c r="G122" s="29">
        <v>100.6</v>
      </c>
    </row>
    <row r="123" spans="5:7">
      <c r="E123" s="28" t="s">
        <v>1654</v>
      </c>
      <c r="G123" s="29">
        <v>100.7</v>
      </c>
    </row>
    <row r="124" spans="5:7">
      <c r="E124" s="28" t="s">
        <v>1655</v>
      </c>
      <c r="G124" s="29">
        <v>100.7</v>
      </c>
    </row>
    <row r="125" spans="5:7">
      <c r="E125" s="28" t="s">
        <v>1656</v>
      </c>
      <c r="G125" s="30">
        <v>101</v>
      </c>
    </row>
    <row r="126" spans="5:7">
      <c r="E126" s="28" t="s">
        <v>1657</v>
      </c>
      <c r="G126" s="29">
        <v>100.5</v>
      </c>
    </row>
    <row r="127" spans="5:7">
      <c r="E127" s="28" t="s">
        <v>1658</v>
      </c>
      <c r="G127" s="29">
        <v>100.9</v>
      </c>
    </row>
    <row r="128" spans="5:7">
      <c r="E128" s="28" t="s">
        <v>1659</v>
      </c>
      <c r="G128" s="29">
        <v>101.1</v>
      </c>
    </row>
    <row r="129" spans="5:7">
      <c r="E129" s="28" t="s">
        <v>1660</v>
      </c>
      <c r="G129" s="29">
        <v>101.7</v>
      </c>
    </row>
    <row r="130" spans="5:7">
      <c r="E130" s="28" t="s">
        <v>1661</v>
      </c>
      <c r="G130" s="29">
        <v>102.2</v>
      </c>
    </row>
    <row r="131" spans="5:7">
      <c r="E131" s="28" t="s">
        <v>1662</v>
      </c>
      <c r="G131" s="29">
        <v>102.5</v>
      </c>
    </row>
    <row r="132" spans="5:7">
      <c r="E132" s="28" t="s">
        <v>1663</v>
      </c>
      <c r="G132" s="29">
        <v>102.5</v>
      </c>
    </row>
    <row r="133" spans="5:7">
      <c r="E133" s="28" t="s">
        <v>1664</v>
      </c>
      <c r="G133" s="29">
        <v>102.9</v>
      </c>
    </row>
    <row r="134" spans="5:7">
      <c r="E134" s="28" t="s">
        <v>1665</v>
      </c>
      <c r="G134" s="30">
        <v>103</v>
      </c>
    </row>
    <row r="135" spans="5:7">
      <c r="E135" s="28" t="s">
        <v>1666</v>
      </c>
      <c r="G135" s="29">
        <v>103.2</v>
      </c>
    </row>
    <row r="136" spans="5:7">
      <c r="E136" s="28" t="s">
        <v>1667</v>
      </c>
      <c r="G136" s="29">
        <v>103.4</v>
      </c>
    </row>
    <row r="137" spans="5:7">
      <c r="E137" s="28" t="s">
        <v>1668</v>
      </c>
      <c r="G137" s="30">
        <v>104</v>
      </c>
    </row>
    <row r="138" spans="5:7">
      <c r="E138" s="28" t="s">
        <v>1669</v>
      </c>
      <c r="G138" s="29">
        <v>103.2</v>
      </c>
    </row>
    <row r="139" spans="5:7">
      <c r="E139" s="28" t="s">
        <v>1670</v>
      </c>
      <c r="G139" s="29">
        <v>103.7</v>
      </c>
    </row>
    <row r="140" spans="5:7">
      <c r="E140" s="28" t="s">
        <v>1671</v>
      </c>
      <c r="G140" s="29">
        <v>104.2</v>
      </c>
    </row>
    <row r="141" spans="5:7">
      <c r="E141" s="28" t="s">
        <v>1672</v>
      </c>
      <c r="G141" s="29">
        <v>104.5</v>
      </c>
    </row>
    <row r="142" spans="5:7">
      <c r="E142" s="28" t="s">
        <v>1673</v>
      </c>
      <c r="G142" s="29">
        <v>104.8</v>
      </c>
    </row>
    <row r="143" spans="5:7">
      <c r="E143" s="28" t="s">
        <v>1674</v>
      </c>
      <c r="G143" s="30">
        <v>105</v>
      </c>
    </row>
    <row r="144" spans="5:7">
      <c r="E144" s="28" t="s">
        <v>1675</v>
      </c>
      <c r="G144" s="29">
        <v>104.4</v>
      </c>
    </row>
    <row r="145" spans="5:7">
      <c r="E145" s="28" t="s">
        <v>1676</v>
      </c>
      <c r="G145" s="29">
        <v>104.7</v>
      </c>
    </row>
    <row r="146" spans="5:7">
      <c r="E146" s="28" t="s">
        <v>1677</v>
      </c>
      <c r="G146" s="29">
        <v>104.8</v>
      </c>
    </row>
    <row r="147" spans="5:7">
      <c r="E147" s="28" t="s">
        <v>1678</v>
      </c>
      <c r="G147" s="29">
        <v>105.3</v>
      </c>
    </row>
    <row r="148" spans="5:7">
      <c r="E148" s="28" t="s">
        <v>1679</v>
      </c>
      <c r="G148" s="29">
        <v>105.6</v>
      </c>
    </row>
    <row r="149" spans="5:7">
      <c r="E149" s="28" t="s">
        <v>1680</v>
      </c>
      <c r="G149" s="29">
        <v>106.2</v>
      </c>
    </row>
    <row r="150" spans="5:7">
      <c r="E150" s="28" t="s">
        <v>1681</v>
      </c>
      <c r="G150" s="29">
        <v>105.5</v>
      </c>
    </row>
    <row r="151" spans="5:7">
      <c r="E151" s="28" t="s">
        <v>1682</v>
      </c>
      <c r="G151" s="29">
        <v>106.3</v>
      </c>
    </row>
    <row r="152" spans="5:7">
      <c r="E152" s="28" t="s">
        <v>1683</v>
      </c>
      <c r="G152" s="29">
        <v>106.7</v>
      </c>
    </row>
    <row r="153" spans="5:7">
      <c r="E153" s="28" t="s">
        <v>1684</v>
      </c>
      <c r="G153" s="29">
        <v>107.6</v>
      </c>
    </row>
    <row r="154" spans="5:7">
      <c r="E154" s="28" t="s">
        <v>1685</v>
      </c>
      <c r="G154" s="29">
        <v>108.3</v>
      </c>
    </row>
    <row r="155" spans="5:7">
      <c r="E155" s="28" t="s">
        <v>1686</v>
      </c>
      <c r="G155" s="30">
        <v>109</v>
      </c>
    </row>
    <row r="156" spans="5:7">
      <c r="E156" s="28" t="s">
        <v>1687</v>
      </c>
      <c r="G156" s="30">
        <v>109</v>
      </c>
    </row>
    <row r="157" spans="5:7">
      <c r="E157" s="28" t="s">
        <v>1688</v>
      </c>
      <c r="G157" s="29">
        <v>109.7</v>
      </c>
    </row>
    <row r="158" spans="5:7">
      <c r="E158" s="28" t="s">
        <v>1689</v>
      </c>
      <c r="G158" s="29">
        <v>110.3</v>
      </c>
    </row>
    <row r="159" spans="5:7">
      <c r="E159" s="28" t="s">
        <v>1690</v>
      </c>
      <c r="G159" s="30">
        <v>110</v>
      </c>
    </row>
    <row r="160" spans="5:7">
      <c r="E160" s="28" t="s">
        <v>1691</v>
      </c>
      <c r="G160" s="29">
        <v>109.9</v>
      </c>
    </row>
    <row r="161" spans="5:7">
      <c r="E161" s="28" t="s">
        <v>1692</v>
      </c>
      <c r="G161" s="29">
        <v>109.5</v>
      </c>
    </row>
    <row r="162" spans="5:7">
      <c r="E162" s="28" t="s">
        <v>1693</v>
      </c>
      <c r="G162" s="29">
        <v>108.7</v>
      </c>
    </row>
    <row r="163" spans="5:7">
      <c r="E163" s="28" t="s">
        <v>1694</v>
      </c>
      <c r="G163" s="29">
        <v>109.6</v>
      </c>
    </row>
    <row r="164" spans="5:7">
      <c r="E164" s="28" t="s">
        <v>1695</v>
      </c>
      <c r="G164" s="29">
        <v>109.8</v>
      </c>
    </row>
    <row r="165" spans="5:7">
      <c r="E165" s="28" t="s">
        <v>1696</v>
      </c>
      <c r="G165" s="29">
        <v>110.1</v>
      </c>
    </row>
    <row r="166" spans="5:7">
      <c r="E166" s="28" t="s">
        <v>1697</v>
      </c>
      <c r="G166" s="29">
        <v>110.7</v>
      </c>
    </row>
    <row r="167" spans="5:7">
      <c r="E167" s="28" t="s">
        <v>1698</v>
      </c>
      <c r="G167" s="30">
        <v>111</v>
      </c>
    </row>
    <row r="168" spans="5:7">
      <c r="E168" s="28" t="s">
        <v>1699</v>
      </c>
      <c r="G168" s="29">
        <v>110.9</v>
      </c>
    </row>
    <row r="169" spans="5:7">
      <c r="E169" s="28" t="s">
        <v>1700</v>
      </c>
      <c r="G169" s="29">
        <v>111.4</v>
      </c>
    </row>
    <row r="170" spans="5:7">
      <c r="E170" s="28" t="s">
        <v>1701</v>
      </c>
      <c r="G170" s="29">
        <v>111.5</v>
      </c>
    </row>
    <row r="171" spans="5:7">
      <c r="E171" s="28" t="s">
        <v>1702</v>
      </c>
      <c r="G171" s="29">
        <v>111.7</v>
      </c>
    </row>
    <row r="172" spans="5:7">
      <c r="E172" s="28" t="s">
        <v>1703</v>
      </c>
      <c r="G172" s="30">
        <v>112</v>
      </c>
    </row>
    <row r="173" spans="5:7">
      <c r="E173" s="28" t="s">
        <v>1704</v>
      </c>
      <c r="G173" s="29">
        <v>112.6</v>
      </c>
    </row>
    <row r="174" spans="5:7">
      <c r="E174" s="28" t="s">
        <v>1705</v>
      </c>
      <c r="G174" s="29">
        <v>112.4</v>
      </c>
    </row>
    <row r="175" spans="5:7">
      <c r="E175" s="28" t="s">
        <v>1706</v>
      </c>
      <c r="G175" s="29">
        <v>112.9</v>
      </c>
    </row>
    <row r="176" spans="5:7">
      <c r="E176" s="28" t="s">
        <v>1707</v>
      </c>
      <c r="G176" s="29">
        <v>113.5</v>
      </c>
    </row>
    <row r="177" spans="5:7">
      <c r="E177" s="28" t="s">
        <v>1708</v>
      </c>
      <c r="G177" s="29">
        <v>114.2</v>
      </c>
    </row>
    <row r="178" spans="5:7">
      <c r="E178" s="28" t="s">
        <v>1709</v>
      </c>
      <c r="G178" s="29">
        <v>114.4</v>
      </c>
    </row>
    <row r="179" spans="5:7">
      <c r="E179" s="28" t="s">
        <v>1710</v>
      </c>
      <c r="G179" s="29">
        <v>114.6</v>
      </c>
    </row>
    <row r="180" spans="5:7">
      <c r="E180" s="28" t="s">
        <v>1711</v>
      </c>
      <c r="G180" s="29">
        <v>114.3</v>
      </c>
    </row>
    <row r="181" spans="5:7">
      <c r="E181" s="28" t="s">
        <v>1712</v>
      </c>
      <c r="G181" s="29">
        <v>114.9</v>
      </c>
    </row>
    <row r="182" spans="5:7">
      <c r="E182" s="28" t="s">
        <v>1713</v>
      </c>
      <c r="G182" s="29">
        <v>114.9</v>
      </c>
    </row>
    <row r="183" spans="5:7">
      <c r="E183" s="28" t="s">
        <v>1714</v>
      </c>
      <c r="G183" s="29">
        <v>115.2</v>
      </c>
    </row>
    <row r="184" spans="5:7">
      <c r="E184" s="28" t="s">
        <v>1715</v>
      </c>
      <c r="G184" s="29">
        <v>115.6</v>
      </c>
    </row>
    <row r="185" spans="5:7">
      <c r="E185" s="28" t="s">
        <v>1716</v>
      </c>
      <c r="G185" s="29">
        <v>116.8</v>
      </c>
    </row>
    <row r="186" spans="5:7">
      <c r="E186" s="28" t="s">
        <v>1717</v>
      </c>
      <c r="G186" s="29">
        <v>116.9</v>
      </c>
    </row>
    <row r="187" spans="5:7">
      <c r="E187" s="28" t="s">
        <v>1718</v>
      </c>
      <c r="G187" s="29">
        <v>117.8</v>
      </c>
    </row>
    <row r="188" spans="5:7">
      <c r="E188" s="28" t="s">
        <v>1719</v>
      </c>
      <c r="G188" s="29">
        <v>118.1</v>
      </c>
    </row>
    <row r="189" spans="5:7">
      <c r="E189" s="28" t="s">
        <v>1720</v>
      </c>
      <c r="G189" s="29">
        <v>119.3</v>
      </c>
    </row>
    <row r="190" spans="5:7">
      <c r="E190" s="28" t="s">
        <v>1721</v>
      </c>
      <c r="G190" s="29">
        <v>119.5</v>
      </c>
    </row>
    <row r="191" spans="5:7">
      <c r="E191" s="28" t="s">
        <v>1722</v>
      </c>
      <c r="G191" s="29">
        <v>119.4</v>
      </c>
    </row>
    <row r="192" spans="5:7">
      <c r="E192" s="28" t="s">
        <v>1723</v>
      </c>
      <c r="G192" s="29">
        <v>119.4</v>
      </c>
    </row>
    <row r="193" spans="5:7">
      <c r="E193" s="28" t="s">
        <v>1724</v>
      </c>
      <c r="G193" s="29">
        <v>120.1</v>
      </c>
    </row>
    <row r="194" spans="5:7">
      <c r="E194" s="28" t="s">
        <v>1725</v>
      </c>
      <c r="G194" s="29">
        <v>120.9</v>
      </c>
    </row>
    <row r="195" spans="5:7">
      <c r="E195" s="28" t="s">
        <v>1726</v>
      </c>
      <c r="G195" s="30">
        <v>121</v>
      </c>
    </row>
    <row r="196" spans="5:7">
      <c r="E196" s="28" t="s">
        <v>1727</v>
      </c>
      <c r="G196" s="29">
        <v>121.2</v>
      </c>
    </row>
    <row r="197" spans="5:7">
      <c r="E197" s="28" t="s">
        <v>1728</v>
      </c>
      <c r="G197" s="29">
        <v>121.7</v>
      </c>
    </row>
    <row r="198" spans="5:7">
      <c r="E198" s="28" t="s">
        <v>1729</v>
      </c>
      <c r="G198" s="29">
        <v>121.1</v>
      </c>
    </row>
    <row r="199" spans="5:7">
      <c r="E199" s="28" t="s">
        <v>1730</v>
      </c>
      <c r="G199" s="29">
        <v>121.8</v>
      </c>
    </row>
    <row r="200" spans="5:7">
      <c r="E200" s="28" t="s">
        <v>1731</v>
      </c>
      <c r="G200" s="29">
        <v>122.2</v>
      </c>
    </row>
    <row r="201" spans="5:7">
      <c r="E201" s="28" t="s">
        <v>1732</v>
      </c>
      <c r="G201" s="29">
        <v>122.9</v>
      </c>
    </row>
    <row r="202" spans="5:7">
      <c r="E202" s="28" t="s">
        <v>1733</v>
      </c>
      <c r="G202" s="29">
        <v>122.8</v>
      </c>
    </row>
    <row r="203" spans="5:7">
      <c r="E203" s="28" t="s">
        <v>1734</v>
      </c>
      <c r="G203" s="29">
        <v>122.3</v>
      </c>
    </row>
    <row r="204" spans="5:7">
      <c r="E204" s="28" t="s">
        <v>1735</v>
      </c>
      <c r="G204" s="29">
        <v>122.5</v>
      </c>
    </row>
    <row r="205" spans="5:7">
      <c r="E205" s="28" t="s">
        <v>1736</v>
      </c>
      <c r="G205" s="29">
        <v>123.1</v>
      </c>
    </row>
    <row r="206" spans="5:7">
      <c r="E206" s="28" t="s">
        <v>1737</v>
      </c>
      <c r="G206" s="29">
        <v>123.5</v>
      </c>
    </row>
    <row r="207" spans="5:7">
      <c r="E207" s="28" t="s">
        <v>1738</v>
      </c>
      <c r="G207" s="29">
        <v>124.2</v>
      </c>
    </row>
    <row r="208" spans="5:7">
      <c r="E208" s="28" t="s">
        <v>1739</v>
      </c>
      <c r="G208" s="29">
        <v>124.4</v>
      </c>
    </row>
    <row r="209" spans="5:7">
      <c r="E209" s="28" t="s">
        <v>1740</v>
      </c>
      <c r="G209" s="30">
        <v>125</v>
      </c>
    </row>
    <row r="210" spans="5:7">
      <c r="E210" s="28" t="s">
        <v>1741</v>
      </c>
      <c r="G210" s="29">
        <v>124.4</v>
      </c>
    </row>
    <row r="211" spans="5:7">
      <c r="E211" s="28" t="s">
        <v>1742</v>
      </c>
      <c r="G211" s="29">
        <v>125.2</v>
      </c>
    </row>
    <row r="212" spans="5:7">
      <c r="E212" s="28" t="s">
        <v>1743</v>
      </c>
      <c r="G212" s="29">
        <v>125.6</v>
      </c>
    </row>
    <row r="213" spans="5:7">
      <c r="E213" s="28" t="s">
        <v>1744</v>
      </c>
      <c r="G213" s="29">
        <v>125.9</v>
      </c>
    </row>
    <row r="214" spans="5:7">
      <c r="E214" s="28" t="s">
        <v>1745</v>
      </c>
      <c r="G214" s="29">
        <v>126.1</v>
      </c>
    </row>
    <row r="215" spans="5:7">
      <c r="E215" s="28" t="s">
        <v>1746</v>
      </c>
      <c r="G215" s="29">
        <v>125.9</v>
      </c>
    </row>
    <row r="216" spans="5:7">
      <c r="E216" s="28" t="s">
        <v>1747</v>
      </c>
      <c r="G216" s="29">
        <v>125.8</v>
      </c>
    </row>
    <row r="217" spans="5:7">
      <c r="E217" s="28" t="s">
        <v>1748</v>
      </c>
      <c r="G217" s="29">
        <v>126.4</v>
      </c>
    </row>
    <row r="218" spans="5:7">
      <c r="E218" s="28" t="s">
        <v>1749</v>
      </c>
      <c r="G218" s="29">
        <v>126.8</v>
      </c>
    </row>
    <row r="219" spans="5:7">
      <c r="E219" s="28" t="s">
        <v>1750</v>
      </c>
      <c r="G219" s="29">
        <v>126.9</v>
      </c>
    </row>
    <row r="220" spans="5:7">
      <c r="E220" s="28" t="s">
        <v>1751</v>
      </c>
      <c r="G220" s="30">
        <v>127</v>
      </c>
    </row>
    <row r="221" spans="5:7">
      <c r="E221" s="28" t="s">
        <v>1752</v>
      </c>
      <c r="G221" s="29">
        <v>127.5</v>
      </c>
    </row>
    <row r="222" spans="5:7">
      <c r="E222" s="28" t="s">
        <v>1753</v>
      </c>
      <c r="G222" s="29">
        <v>126.7</v>
      </c>
    </row>
    <row r="223" spans="5:7">
      <c r="E223" s="28" t="s">
        <v>1754</v>
      </c>
      <c r="G223" s="29">
        <v>127.4</v>
      </c>
    </row>
    <row r="224" spans="5:7">
      <c r="E224" s="28" t="s">
        <v>1755</v>
      </c>
      <c r="G224" s="29">
        <v>127.7</v>
      </c>
    </row>
    <row r="225" spans="5:7">
      <c r="E225" s="28" t="s">
        <v>1756</v>
      </c>
      <c r="G225" s="29">
        <v>128.1</v>
      </c>
    </row>
    <row r="226" spans="5:7">
      <c r="E226" s="28" t="s">
        <v>1757</v>
      </c>
      <c r="G226" s="30">
        <v>128</v>
      </c>
    </row>
    <row r="227" spans="5:7">
      <c r="E227" s="28" t="s">
        <v>1758</v>
      </c>
      <c r="G227" s="29">
        <v>128.30000000000001</v>
      </c>
    </row>
    <row r="228" spans="5:7">
      <c r="E228" s="28" t="s">
        <v>1759</v>
      </c>
      <c r="G228" s="29">
        <v>127.8</v>
      </c>
    </row>
    <row r="229" spans="5:7">
      <c r="E229" s="28" t="s">
        <v>1760</v>
      </c>
      <c r="G229" s="29">
        <v>128.30000000000001</v>
      </c>
    </row>
    <row r="230" spans="5:7">
      <c r="E230" s="28" t="s">
        <v>1761</v>
      </c>
      <c r="G230" s="29">
        <v>128.4</v>
      </c>
    </row>
    <row r="231" spans="5:7">
      <c r="E231" s="28" t="s">
        <v>1762</v>
      </c>
      <c r="G231" s="29">
        <v>128.5</v>
      </c>
    </row>
    <row r="232" spans="5:7">
      <c r="E232" s="28" t="s">
        <v>1763</v>
      </c>
      <c r="G232" s="29">
        <v>128.19999999999999</v>
      </c>
    </row>
    <row r="233" spans="5:7">
      <c r="E233" s="28" t="s">
        <v>1764</v>
      </c>
      <c r="G233" s="29">
        <v>128.19999999999999</v>
      </c>
    </row>
    <row r="234" spans="5:7">
      <c r="E234" s="28" t="s">
        <v>1765</v>
      </c>
      <c r="G234" s="29">
        <v>127.1</v>
      </c>
    </row>
    <row r="235" spans="5:7">
      <c r="E235" s="28" t="s">
        <v>1766</v>
      </c>
      <c r="G235" s="29">
        <v>127.4</v>
      </c>
    </row>
    <row r="236" spans="5:7">
      <c r="E236" s="28" t="s">
        <v>1767</v>
      </c>
      <c r="G236" s="29">
        <v>127.6</v>
      </c>
    </row>
    <row r="237" spans="5:7">
      <c r="E237" s="28" t="s">
        <v>1768</v>
      </c>
      <c r="G237" s="30">
        <v>128</v>
      </c>
    </row>
    <row r="238" spans="5:7">
      <c r="E238" s="28" t="s">
        <v>1769</v>
      </c>
      <c r="G238" s="29">
        <v>128.19999999999999</v>
      </c>
    </row>
    <row r="239" spans="5:7">
      <c r="E239" s="28" t="s">
        <v>1770</v>
      </c>
      <c r="G239" s="29">
        <v>128.19999999999999</v>
      </c>
    </row>
    <row r="240" spans="5:7">
      <c r="E240" s="28" t="s">
        <v>1771</v>
      </c>
      <c r="G240" s="30">
        <v>128</v>
      </c>
    </row>
    <row r="241" spans="5:7">
      <c r="E241" s="28" t="s">
        <v>1772</v>
      </c>
      <c r="G241" s="29">
        <v>128.4</v>
      </c>
    </row>
    <row r="242" spans="5:7">
      <c r="E242" s="28" t="s">
        <v>1773</v>
      </c>
      <c r="G242" s="29">
        <v>128.19999999999999</v>
      </c>
    </row>
    <row r="243" spans="5:7">
      <c r="E243" s="28" t="s">
        <v>1774</v>
      </c>
      <c r="G243" s="29">
        <v>128.4</v>
      </c>
    </row>
  </sheetData>
  <hyperlinks>
    <hyperlink ref="L6" r:id="rId1" xr:uid="{00000000-0004-0000-0400-000000000000}"/>
    <hyperlink ref="Q12" r:id="rId2" xr:uid="{00000000-0004-0000-0400-000001000000}"/>
  </hyperlinks>
  <pageMargins left="0.7" right="0.7" top="0.75" bottom="0.75" header="0.3" footer="0.3"/>
  <pageSetup paperSize="9" orientation="portrait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63"/>
  <sheetViews>
    <sheetView zoomScaleNormal="100" workbookViewId="0">
      <selection activeCell="B20" sqref="B20"/>
    </sheetView>
  </sheetViews>
  <sheetFormatPr baseColWidth="10" defaultColWidth="8.83203125" defaultRowHeight="13"/>
  <cols>
    <col min="8" max="8" width="12.5" customWidth="1"/>
  </cols>
  <sheetData>
    <row r="1" spans="1:9">
      <c r="A1" t="s">
        <v>6</v>
      </c>
      <c r="B1" t="s">
        <v>1504</v>
      </c>
      <c r="C1" t="s">
        <v>1502</v>
      </c>
      <c r="D1" t="s">
        <v>1505</v>
      </c>
      <c r="E1" t="s">
        <v>1528</v>
      </c>
    </row>
    <row r="2" spans="1:9">
      <c r="A2">
        <v>2000</v>
      </c>
      <c r="B2" s="31">
        <v>0.92260382413835085</v>
      </c>
      <c r="C2">
        <v>1</v>
      </c>
      <c r="D2" s="31">
        <v>1.3695652173913042</v>
      </c>
      <c r="E2">
        <v>0.60893922786505905</v>
      </c>
    </row>
    <row r="3" spans="1:9" ht="15">
      <c r="A3">
        <v>2001</v>
      </c>
      <c r="B3" s="31">
        <v>0.89513271585752463</v>
      </c>
      <c r="C3" s="87">
        <v>1</v>
      </c>
      <c r="D3" s="31">
        <v>1.3861503077018711</v>
      </c>
      <c r="E3" s="87">
        <v>0.62161994156772549</v>
      </c>
    </row>
    <row r="4" spans="1:9" ht="15">
      <c r="A4">
        <v>2002</v>
      </c>
      <c r="B4" s="31">
        <v>0.94506254321453276</v>
      </c>
      <c r="C4" s="90">
        <v>1</v>
      </c>
      <c r="D4" s="31">
        <v>1.4840027657300898</v>
      </c>
      <c r="E4" s="90">
        <v>0.62857502042868818</v>
      </c>
    </row>
    <row r="5" spans="1:9">
      <c r="A5">
        <v>2003</v>
      </c>
      <c r="B5" s="31">
        <v>1.1312257885998893</v>
      </c>
      <c r="C5">
        <v>1</v>
      </c>
      <c r="D5" s="31">
        <v>1.5825262866629775</v>
      </c>
      <c r="E5">
        <v>0.69175428887659107</v>
      </c>
    </row>
    <row r="6" spans="1:9">
      <c r="A6">
        <v>2004</v>
      </c>
      <c r="B6" s="31">
        <v>1.2431643937851957</v>
      </c>
      <c r="C6" s="31">
        <v>1</v>
      </c>
      <c r="D6" s="31">
        <v>1.6168668159305246</v>
      </c>
      <c r="E6" s="31">
        <v>0.67847208087387201</v>
      </c>
      <c r="H6" t="s">
        <v>1778</v>
      </c>
    </row>
    <row r="7" spans="1:9">
      <c r="A7">
        <v>2005</v>
      </c>
      <c r="B7" s="31">
        <v>1.2433522455396813</v>
      </c>
      <c r="C7" s="31">
        <v>1</v>
      </c>
      <c r="D7" s="31">
        <v>1.5071433454098024</v>
      </c>
      <c r="E7" s="31">
        <v>0.68357372342607148</v>
      </c>
      <c r="H7" s="26" t="s">
        <v>1779</v>
      </c>
    </row>
    <row r="8" spans="1:9">
      <c r="A8">
        <v>2006</v>
      </c>
      <c r="B8" s="31">
        <v>1.2563053851397408</v>
      </c>
      <c r="C8" s="31">
        <v>1</v>
      </c>
      <c r="D8" s="31">
        <v>1.4246762099522834</v>
      </c>
      <c r="E8" s="31">
        <v>0.68166325835037489</v>
      </c>
    </row>
    <row r="9" spans="1:9">
      <c r="A9">
        <v>2007</v>
      </c>
      <c r="B9" s="31">
        <v>1.3695875230863945</v>
      </c>
      <c r="C9" s="31">
        <v>1</v>
      </c>
      <c r="D9" s="31">
        <v>1.4684314932621931</v>
      </c>
      <c r="E9" s="31">
        <v>0.68404131609549212</v>
      </c>
      <c r="H9" t="s">
        <v>1820</v>
      </c>
    </row>
    <row r="10" spans="1:9">
      <c r="A10">
        <v>2008</v>
      </c>
      <c r="B10" s="31">
        <v>1.4718779790276455</v>
      </c>
      <c r="C10" s="31">
        <v>1</v>
      </c>
      <c r="D10" s="31">
        <v>1.5587067047982206</v>
      </c>
      <c r="E10" s="31">
        <v>0.79440737210041312</v>
      </c>
    </row>
    <row r="11" spans="1:9">
      <c r="A11">
        <v>2009</v>
      </c>
      <c r="B11" s="31">
        <v>1.3945517671147512</v>
      </c>
      <c r="C11" s="31">
        <v>1</v>
      </c>
      <c r="D11" s="31">
        <v>1.5846167542063563</v>
      </c>
      <c r="E11" s="31">
        <v>0.89023413157660469</v>
      </c>
    </row>
    <row r="12" spans="1:9">
      <c r="A12">
        <v>2010</v>
      </c>
      <c r="B12" s="31">
        <v>1.3254458161865568</v>
      </c>
      <c r="C12" s="31">
        <v>1</v>
      </c>
      <c r="D12" s="31">
        <v>1.3653120713305897</v>
      </c>
      <c r="E12" s="31">
        <v>0.85733882030178321</v>
      </c>
    </row>
    <row r="13" spans="1:9">
      <c r="A13">
        <v>2011</v>
      </c>
      <c r="B13" s="31">
        <v>1.3906480437234319</v>
      </c>
      <c r="C13" s="31">
        <v>1</v>
      </c>
      <c r="D13" s="31">
        <v>1.3760735664092998</v>
      </c>
      <c r="E13" s="31">
        <v>0.86752841155547844</v>
      </c>
    </row>
    <row r="14" spans="1:9">
      <c r="A14">
        <v>2012</v>
      </c>
      <c r="B14" s="31">
        <v>1.2848342384696441</v>
      </c>
      <c r="C14" s="31">
        <v>1</v>
      </c>
      <c r="D14" s="31">
        <v>1.2838615546729351</v>
      </c>
      <c r="E14" s="31">
        <v>0.81056983059090537</v>
      </c>
    </row>
    <row r="15" spans="1:9">
      <c r="A15">
        <v>2013</v>
      </c>
      <c r="B15" s="31">
        <v>1.3284646739130435</v>
      </c>
      <c r="C15" s="31">
        <v>1</v>
      </c>
      <c r="D15" s="31">
        <v>1.3688858695652175</v>
      </c>
      <c r="E15" s="31">
        <v>0.84918478260869568</v>
      </c>
      <c r="H15" s="32"/>
      <c r="I15" s="31"/>
    </row>
    <row r="16" spans="1:9">
      <c r="A16">
        <v>2014</v>
      </c>
      <c r="B16" s="31">
        <v>1.3276126017242766</v>
      </c>
      <c r="C16" s="31">
        <v>1</v>
      </c>
      <c r="D16" s="31">
        <v>1.4654741761340744</v>
      </c>
      <c r="E16" s="31">
        <v>0.8057368463459833</v>
      </c>
      <c r="H16" s="32"/>
      <c r="I16" s="31"/>
    </row>
    <row r="17" spans="1:9">
      <c r="A17">
        <v>2015</v>
      </c>
      <c r="B17" s="31">
        <v>1.1091278479175735</v>
      </c>
      <c r="C17" s="31">
        <v>1</v>
      </c>
      <c r="D17" s="31">
        <v>1.4186620229284574</v>
      </c>
      <c r="E17" s="31">
        <v>0.72558409519663325</v>
      </c>
      <c r="H17" s="32"/>
      <c r="I17" s="31"/>
    </row>
    <row r="18" spans="1:9">
      <c r="A18">
        <v>2016</v>
      </c>
      <c r="B18" s="31">
        <v>1.107005640480667</v>
      </c>
      <c r="C18" s="31">
        <v>1</v>
      </c>
      <c r="D18" s="31">
        <v>1.4671789422055095</v>
      </c>
      <c r="E18" s="31">
        <v>0.81746096623886211</v>
      </c>
      <c r="H18" s="32"/>
      <c r="I18" s="31"/>
    </row>
    <row r="19" spans="1:9">
      <c r="A19">
        <v>2017</v>
      </c>
      <c r="B19" s="31">
        <v>1.1292385875755717</v>
      </c>
      <c r="C19" s="31">
        <v>1</v>
      </c>
      <c r="D19" s="31">
        <v>1.464645579602208</v>
      </c>
      <c r="E19" s="31">
        <v>0.87619381407167263</v>
      </c>
      <c r="H19" s="32"/>
      <c r="I19" s="31"/>
    </row>
    <row r="20" spans="1:9">
      <c r="A20">
        <v>2018</v>
      </c>
      <c r="B20">
        <v>1.1945807172172123</v>
      </c>
      <c r="C20" s="31">
        <v>1</v>
      </c>
      <c r="D20">
        <v>1.5376754413446985</v>
      </c>
      <c r="E20" s="31">
        <v>0.88375549159962452</v>
      </c>
      <c r="F20" s="31"/>
      <c r="H20" s="32"/>
      <c r="I20" s="31"/>
    </row>
    <row r="21" spans="1:9">
      <c r="B21" s="31"/>
      <c r="C21" s="31"/>
      <c r="D21" s="31"/>
      <c r="E21" s="31"/>
      <c r="F21" s="31"/>
      <c r="H21" s="32"/>
      <c r="I21" s="31"/>
    </row>
    <row r="22" spans="1:9">
      <c r="B22" s="31"/>
      <c r="D22" s="31"/>
      <c r="E22" s="31"/>
      <c r="F22" s="31"/>
      <c r="H22" s="32"/>
      <c r="I22" s="31"/>
    </row>
    <row r="23" spans="1:9">
      <c r="B23" s="31"/>
      <c r="D23" s="31"/>
      <c r="E23" s="31"/>
      <c r="F23" s="31"/>
      <c r="H23" s="32"/>
      <c r="I23" s="31"/>
    </row>
    <row r="24" spans="1:9">
      <c r="B24" s="31"/>
      <c r="D24" s="31"/>
      <c r="E24" s="31"/>
      <c r="F24" s="31"/>
      <c r="H24" s="32"/>
      <c r="I24" s="31"/>
    </row>
    <row r="25" spans="1:9">
      <c r="B25" s="31"/>
      <c r="D25" s="31"/>
      <c r="E25" s="31"/>
      <c r="F25" s="31"/>
      <c r="H25" s="32"/>
      <c r="I25" s="31"/>
    </row>
    <row r="26" spans="1:9">
      <c r="B26" s="31"/>
      <c r="D26" s="31"/>
      <c r="E26" s="31"/>
      <c r="F26" s="31"/>
      <c r="H26" s="32"/>
      <c r="I26" s="31"/>
    </row>
    <row r="27" spans="1:9">
      <c r="B27" s="31"/>
      <c r="D27" s="31"/>
      <c r="E27" s="31"/>
      <c r="F27" s="31"/>
      <c r="H27" s="32"/>
      <c r="I27" s="31"/>
    </row>
    <row r="28" spans="1:9">
      <c r="B28" s="31"/>
      <c r="D28" s="31"/>
      <c r="E28" s="31"/>
      <c r="F28" s="31"/>
      <c r="H28" s="32"/>
      <c r="I28" s="31"/>
    </row>
    <row r="29" spans="1:9">
      <c r="B29" s="31"/>
      <c r="D29" s="31"/>
      <c r="E29" s="31"/>
      <c r="F29" s="31"/>
      <c r="H29" s="32"/>
      <c r="I29" s="31"/>
    </row>
    <row r="30" spans="1:9">
      <c r="B30" s="31"/>
      <c r="D30" s="31"/>
      <c r="E30" s="31"/>
      <c r="F30" s="31"/>
      <c r="H30" s="32"/>
      <c r="I30" s="31"/>
    </row>
    <row r="31" spans="1:9">
      <c r="B31" s="31"/>
      <c r="D31" s="31"/>
      <c r="E31" s="31"/>
      <c r="F31" s="31"/>
      <c r="H31" s="32"/>
      <c r="I31" s="31"/>
    </row>
    <row r="32" spans="1:9">
      <c r="B32" s="31"/>
      <c r="D32" s="31"/>
      <c r="E32" s="31"/>
      <c r="F32" s="31"/>
      <c r="H32" s="32"/>
      <c r="I32" s="31"/>
    </row>
    <row r="33" spans="2:9">
      <c r="B33" s="31"/>
      <c r="D33" s="31"/>
      <c r="E33" s="31"/>
      <c r="F33" s="31"/>
      <c r="H33" s="32"/>
      <c r="I33" s="31"/>
    </row>
    <row r="34" spans="2:9">
      <c r="B34" s="31"/>
      <c r="D34" s="31"/>
      <c r="E34" s="31"/>
      <c r="F34" s="31"/>
      <c r="H34" s="32"/>
      <c r="I34" s="31"/>
    </row>
    <row r="35" spans="2:9">
      <c r="B35" s="31"/>
      <c r="D35" s="31"/>
      <c r="E35" s="31"/>
      <c r="F35" s="31"/>
      <c r="H35" s="32"/>
      <c r="I35" s="31"/>
    </row>
    <row r="36" spans="2:9">
      <c r="B36" s="31"/>
      <c r="D36" s="31"/>
      <c r="E36" s="31"/>
      <c r="F36" s="31"/>
      <c r="H36" s="32"/>
      <c r="I36" s="31"/>
    </row>
    <row r="37" spans="2:9">
      <c r="B37" s="31"/>
      <c r="D37" s="31"/>
      <c r="E37" s="31"/>
      <c r="F37" s="31"/>
      <c r="H37" s="32"/>
      <c r="I37" s="31"/>
    </row>
    <row r="38" spans="2:9">
      <c r="B38" s="31"/>
      <c r="D38" s="31"/>
      <c r="E38" s="31"/>
      <c r="F38" s="31"/>
      <c r="H38" s="32"/>
      <c r="I38" s="31"/>
    </row>
    <row r="39" spans="2:9">
      <c r="B39" s="31"/>
      <c r="D39" s="31"/>
      <c r="E39" s="31"/>
      <c r="F39" s="31"/>
      <c r="H39" s="32"/>
      <c r="I39" s="31"/>
    </row>
    <row r="40" spans="2:9">
      <c r="B40" s="31"/>
      <c r="D40" s="31"/>
      <c r="E40" s="31"/>
      <c r="F40" s="31"/>
      <c r="H40" s="32"/>
      <c r="I40" s="31"/>
    </row>
    <row r="41" spans="2:9">
      <c r="B41" s="31"/>
      <c r="D41" s="31"/>
      <c r="E41" s="31"/>
      <c r="F41" s="31"/>
      <c r="H41" s="32"/>
      <c r="I41" s="31"/>
    </row>
    <row r="42" spans="2:9">
      <c r="B42" s="31"/>
      <c r="D42" s="31"/>
      <c r="E42" s="31"/>
      <c r="F42" s="31"/>
      <c r="H42" s="32"/>
      <c r="I42" s="31"/>
    </row>
    <row r="43" spans="2:9">
      <c r="B43" s="31"/>
      <c r="D43" s="31"/>
      <c r="E43" s="31"/>
      <c r="F43" s="31"/>
      <c r="H43" s="32"/>
      <c r="I43" s="31"/>
    </row>
    <row r="44" spans="2:9">
      <c r="B44" s="31"/>
      <c r="D44" s="31"/>
      <c r="E44" s="31"/>
      <c r="F44" s="31"/>
      <c r="H44" s="32"/>
      <c r="I44" s="31"/>
    </row>
    <row r="45" spans="2:9">
      <c r="B45" s="31"/>
      <c r="D45" s="31"/>
      <c r="E45" s="31"/>
      <c r="F45" s="31"/>
      <c r="H45" s="32"/>
      <c r="I45" s="31"/>
    </row>
    <row r="46" spans="2:9">
      <c r="F46" s="31"/>
      <c r="H46" s="32"/>
      <c r="I46" s="31"/>
    </row>
    <row r="47" spans="2:9">
      <c r="H47" s="32"/>
      <c r="I47" s="31"/>
    </row>
    <row r="48" spans="2:9">
      <c r="H48" s="32"/>
      <c r="I48" s="31"/>
    </row>
    <row r="49" spans="8:9">
      <c r="H49" s="32"/>
      <c r="I49" s="31"/>
    </row>
    <row r="50" spans="8:9">
      <c r="H50" s="32"/>
      <c r="I50" s="31"/>
    </row>
    <row r="51" spans="8:9">
      <c r="H51" s="32"/>
      <c r="I51" s="31"/>
    </row>
    <row r="52" spans="8:9">
      <c r="H52" s="32"/>
      <c r="I52" s="31"/>
    </row>
    <row r="53" spans="8:9">
      <c r="H53" s="32"/>
      <c r="I53" s="31"/>
    </row>
    <row r="54" spans="8:9">
      <c r="H54" s="32"/>
      <c r="I54" s="31"/>
    </row>
    <row r="55" spans="8:9">
      <c r="H55" s="32"/>
      <c r="I55" s="31"/>
    </row>
    <row r="56" spans="8:9">
      <c r="H56" s="32"/>
      <c r="I56" s="31"/>
    </row>
    <row r="57" spans="8:9">
      <c r="H57" s="32"/>
      <c r="I57" s="31"/>
    </row>
    <row r="58" spans="8:9">
      <c r="H58" s="32"/>
      <c r="I58" s="31"/>
    </row>
    <row r="59" spans="8:9">
      <c r="H59" s="32"/>
      <c r="I59" s="31"/>
    </row>
    <row r="60" spans="8:9">
      <c r="H60" s="32"/>
      <c r="I60" s="31"/>
    </row>
    <row r="61" spans="8:9">
      <c r="H61" s="32"/>
      <c r="I61" s="31"/>
    </row>
    <row r="62" spans="8:9">
      <c r="H62" s="32"/>
      <c r="I62" s="31"/>
    </row>
    <row r="63" spans="8:9">
      <c r="H63" s="32"/>
      <c r="I63" s="31"/>
    </row>
  </sheetData>
  <hyperlinks>
    <hyperlink ref="H7" r:id="rId1" location="BM" xr:uid="{00000000-0004-0000-0500-000000000000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0"/>
  <sheetViews>
    <sheetView topLeftCell="A17" workbookViewId="0">
      <selection activeCell="I22" sqref="I22"/>
    </sheetView>
  </sheetViews>
  <sheetFormatPr baseColWidth="10" defaultColWidth="8.83203125" defaultRowHeight="13"/>
  <cols>
    <col min="1" max="1" width="30.5" bestFit="1" customWidth="1"/>
    <col min="2" max="2" width="23.6640625" customWidth="1"/>
  </cols>
  <sheetData>
    <row r="1" spans="1:6">
      <c r="A1" s="109" t="s">
        <v>1928</v>
      </c>
      <c r="B1" s="109"/>
    </row>
    <row r="2" spans="1:6">
      <c r="A2" s="109" t="s">
        <v>1929</v>
      </c>
      <c r="B2" s="109"/>
    </row>
    <row r="3" spans="1:6">
      <c r="A3" s="109" t="s">
        <v>1930</v>
      </c>
      <c r="B3" s="109"/>
    </row>
    <row r="4" spans="1:6">
      <c r="A4" s="109" t="s">
        <v>1931</v>
      </c>
      <c r="B4" s="109"/>
    </row>
    <row r="5" spans="1:6">
      <c r="A5" s="109" t="s">
        <v>1932</v>
      </c>
      <c r="B5" s="109"/>
    </row>
    <row r="6" spans="1:6">
      <c r="A6" s="109" t="s">
        <v>1933</v>
      </c>
      <c r="B6" s="109"/>
    </row>
    <row r="8" spans="1:6">
      <c r="A8" s="109" t="s">
        <v>1934</v>
      </c>
      <c r="B8" s="109" t="s">
        <v>1935</v>
      </c>
    </row>
    <row r="10" spans="1:6">
      <c r="A10" s="109" t="s">
        <v>1936</v>
      </c>
      <c r="B10" s="109"/>
    </row>
    <row r="11" spans="1:6">
      <c r="A11" s="109" t="s">
        <v>1937</v>
      </c>
      <c r="B11" s="109" t="s">
        <v>1934</v>
      </c>
      <c r="D11" t="s">
        <v>1938</v>
      </c>
    </row>
    <row r="12" spans="1:6">
      <c r="A12" s="110">
        <v>20090</v>
      </c>
      <c r="B12" s="111">
        <v>11.296660000000001</v>
      </c>
      <c r="D12" t="s">
        <v>1939</v>
      </c>
      <c r="E12">
        <v>1.1304000000000001</v>
      </c>
      <c r="F12" t="s">
        <v>1504</v>
      </c>
    </row>
    <row r="13" spans="1:6">
      <c r="A13" s="110">
        <v>20455</v>
      </c>
      <c r="B13" s="111">
        <v>11.46894</v>
      </c>
    </row>
    <row r="14" spans="1:6">
      <c r="A14" s="110">
        <v>20821</v>
      </c>
      <c r="B14" s="111">
        <v>11.852169999999999</v>
      </c>
    </row>
    <row r="15" spans="1:6">
      <c r="A15" s="110">
        <v>21186</v>
      </c>
      <c r="B15" s="111">
        <v>12.17564</v>
      </c>
    </row>
    <row r="16" spans="1:6">
      <c r="A16" s="110">
        <v>21551</v>
      </c>
      <c r="B16" s="111">
        <v>12.2987</v>
      </c>
    </row>
    <row r="17" spans="1:2">
      <c r="A17" s="110">
        <v>21916</v>
      </c>
      <c r="B17" s="111">
        <v>12.478010000000001</v>
      </c>
    </row>
    <row r="18" spans="1:2">
      <c r="A18" s="110">
        <v>22282</v>
      </c>
      <c r="B18" s="111">
        <v>12.611610000000001</v>
      </c>
    </row>
    <row r="19" spans="1:2">
      <c r="A19" s="110">
        <v>22647</v>
      </c>
      <c r="B19" s="111">
        <v>12.7628</v>
      </c>
    </row>
    <row r="20" spans="1:2">
      <c r="A20" s="110">
        <v>23012</v>
      </c>
      <c r="B20" s="111">
        <v>12.921010000000001</v>
      </c>
    </row>
    <row r="21" spans="1:2">
      <c r="A21" s="110">
        <v>23377</v>
      </c>
      <c r="B21" s="111">
        <v>13.086260000000001</v>
      </c>
    </row>
    <row r="22" spans="1:2">
      <c r="A22" s="110">
        <v>23743</v>
      </c>
      <c r="B22" s="111">
        <v>13.293699999999999</v>
      </c>
    </row>
    <row r="23" spans="1:2">
      <c r="A23" s="110">
        <v>24108</v>
      </c>
      <c r="B23" s="111">
        <v>13.694520000000001</v>
      </c>
    </row>
    <row r="24" spans="1:2">
      <c r="A24" s="110">
        <v>24473</v>
      </c>
      <c r="B24" s="111">
        <v>14.07424</v>
      </c>
    </row>
    <row r="25" spans="1:2">
      <c r="A25" s="110">
        <v>24838</v>
      </c>
      <c r="B25" s="111">
        <v>14.675460000000001</v>
      </c>
    </row>
    <row r="26" spans="1:2">
      <c r="A26" s="110">
        <v>25204</v>
      </c>
      <c r="B26" s="111">
        <v>15.477089999999999</v>
      </c>
    </row>
    <row r="27" spans="1:2">
      <c r="A27" s="110">
        <v>25569</v>
      </c>
      <c r="B27" s="111">
        <v>16.380679999999998</v>
      </c>
    </row>
    <row r="28" spans="1:2">
      <c r="A28" s="110">
        <v>25934</v>
      </c>
      <c r="B28" s="111">
        <v>17.083870000000001</v>
      </c>
    </row>
    <row r="29" spans="1:2">
      <c r="A29" s="110">
        <v>26299</v>
      </c>
      <c r="B29" s="111">
        <v>17.642900000000001</v>
      </c>
    </row>
    <row r="30" spans="1:2">
      <c r="A30" s="110">
        <v>26665</v>
      </c>
      <c r="B30" s="111">
        <v>18.73283</v>
      </c>
    </row>
    <row r="31" spans="1:2">
      <c r="A31" s="110">
        <v>27030</v>
      </c>
      <c r="B31" s="111">
        <v>20.803709999999999</v>
      </c>
    </row>
    <row r="32" spans="1:2">
      <c r="A32" s="110">
        <v>27395</v>
      </c>
      <c r="B32" s="111">
        <v>22.705829999999999</v>
      </c>
    </row>
    <row r="33" spans="1:2">
      <c r="A33" s="110">
        <v>27760</v>
      </c>
      <c r="B33" s="111">
        <v>24.01023</v>
      </c>
    </row>
    <row r="34" spans="1:2">
      <c r="A34" s="110">
        <v>28126</v>
      </c>
      <c r="B34" s="111">
        <v>25.571300000000001</v>
      </c>
    </row>
    <row r="35" spans="1:2">
      <c r="A35" s="110">
        <v>28491</v>
      </c>
      <c r="B35" s="111">
        <v>27.522640000000003</v>
      </c>
    </row>
    <row r="36" spans="1:2">
      <c r="A36" s="110">
        <v>28856</v>
      </c>
      <c r="B36" s="111">
        <v>30.620170000000002</v>
      </c>
    </row>
    <row r="37" spans="1:2">
      <c r="A37" s="110">
        <v>29221</v>
      </c>
      <c r="B37" s="111">
        <v>34.76896</v>
      </c>
    </row>
    <row r="38" spans="1:2">
      <c r="A38" s="110">
        <v>29587</v>
      </c>
      <c r="B38" s="111">
        <v>38.362229999999997</v>
      </c>
    </row>
    <row r="39" spans="1:2">
      <c r="A39" s="110">
        <v>29952</v>
      </c>
      <c r="B39" s="111">
        <v>40.714379999999998</v>
      </c>
    </row>
    <row r="40" spans="1:2">
      <c r="A40" s="110">
        <v>30317</v>
      </c>
      <c r="B40" s="111">
        <v>42.022300000000001</v>
      </c>
    </row>
    <row r="41" spans="1:2">
      <c r="A41" s="110">
        <v>30682</v>
      </c>
      <c r="B41" s="111">
        <v>43.82949</v>
      </c>
    </row>
    <row r="42" spans="1:2">
      <c r="A42" s="110">
        <v>31048</v>
      </c>
      <c r="B42" s="111">
        <v>45.383520000000004</v>
      </c>
    </row>
    <row r="43" spans="1:2">
      <c r="A43" s="110">
        <v>31413</v>
      </c>
      <c r="B43" s="111">
        <v>46.244929999999997</v>
      </c>
    </row>
    <row r="44" spans="1:2">
      <c r="A44" s="110">
        <v>31778</v>
      </c>
      <c r="B44" s="111">
        <v>47.939599999999999</v>
      </c>
    </row>
    <row r="45" spans="1:2">
      <c r="A45" s="110">
        <v>32143</v>
      </c>
      <c r="B45" s="111">
        <v>49.894449999999999</v>
      </c>
    </row>
    <row r="46" spans="1:2">
      <c r="A46" s="110">
        <v>32509</v>
      </c>
      <c r="B46" s="111">
        <v>52.302859999999995</v>
      </c>
    </row>
    <row r="47" spans="1:2">
      <c r="A47" s="110">
        <v>32874</v>
      </c>
      <c r="B47" s="111">
        <v>55.126139999999999</v>
      </c>
    </row>
    <row r="48" spans="1:2">
      <c r="A48" s="110">
        <v>33239</v>
      </c>
      <c r="B48" s="111">
        <v>57.460719999999995</v>
      </c>
    </row>
    <row r="49" spans="1:2">
      <c r="A49" s="110">
        <v>33604</v>
      </c>
      <c r="B49" s="111">
        <v>59.201099999999997</v>
      </c>
    </row>
    <row r="50" spans="1:2">
      <c r="A50" s="110">
        <v>33970</v>
      </c>
      <c r="B50" s="111">
        <v>60.948509999999999</v>
      </c>
    </row>
    <row r="51" spans="1:2">
      <c r="A51" s="110">
        <v>34335</v>
      </c>
      <c r="B51" s="111">
        <v>62.537709999999997</v>
      </c>
    </row>
    <row r="52" spans="1:2">
      <c r="A52" s="110">
        <v>34700</v>
      </c>
      <c r="B52" s="111">
        <v>64.292150000000007</v>
      </c>
    </row>
    <row r="53" spans="1:2">
      <c r="A53" s="110">
        <v>35065</v>
      </c>
      <c r="B53" s="111">
        <v>66.176690000000008</v>
      </c>
    </row>
    <row r="54" spans="1:2">
      <c r="A54" s="110">
        <v>35431</v>
      </c>
      <c r="B54" s="111">
        <v>67.723690000000005</v>
      </c>
    </row>
    <row r="55" spans="1:2">
      <c r="A55" s="110">
        <v>35796</v>
      </c>
      <c r="B55" s="111">
        <v>68.774959999999993</v>
      </c>
    </row>
    <row r="56" spans="1:2">
      <c r="A56" s="110">
        <v>36161</v>
      </c>
      <c r="B56" s="111">
        <v>70.279769999999999</v>
      </c>
    </row>
    <row r="57" spans="1:2">
      <c r="A57" s="110">
        <v>36526</v>
      </c>
      <c r="B57" s="111">
        <v>72.653019999999998</v>
      </c>
    </row>
    <row r="58" spans="1:2">
      <c r="A58" s="110">
        <v>36892</v>
      </c>
      <c r="B58" s="111">
        <v>74.706310000000002</v>
      </c>
    </row>
    <row r="59" spans="1:2">
      <c r="A59" s="110">
        <v>37257</v>
      </c>
      <c r="B59" s="111">
        <v>75.891180000000006</v>
      </c>
    </row>
    <row r="60" spans="1:2">
      <c r="A60" s="110">
        <v>37622</v>
      </c>
      <c r="B60" s="111">
        <v>77.613979999999998</v>
      </c>
    </row>
    <row r="61" spans="1:2">
      <c r="A61" s="110">
        <v>37987</v>
      </c>
      <c r="B61" s="111">
        <v>79.691890000000001</v>
      </c>
    </row>
    <row r="62" spans="1:2">
      <c r="A62" s="110">
        <v>38353</v>
      </c>
      <c r="B62" s="111">
        <v>82.39564</v>
      </c>
    </row>
    <row r="63" spans="1:2">
      <c r="A63" s="110">
        <v>38718</v>
      </c>
      <c r="B63" s="111">
        <v>85.053669999999997</v>
      </c>
    </row>
    <row r="64" spans="1:2">
      <c r="A64" s="110">
        <v>39083</v>
      </c>
      <c r="B64" s="111">
        <v>87.479979999999998</v>
      </c>
    </row>
    <row r="65" spans="1:2">
      <c r="A65" s="110">
        <v>39448</v>
      </c>
      <c r="B65" s="111">
        <v>90.838419999999999</v>
      </c>
    </row>
    <row r="66" spans="1:2">
      <c r="A66" s="110">
        <v>39814</v>
      </c>
      <c r="B66" s="111">
        <v>90.515450000000001</v>
      </c>
    </row>
    <row r="67" spans="1:2">
      <c r="A67" s="110">
        <v>40179</v>
      </c>
      <c r="B67" s="111">
        <v>91.999940000000009</v>
      </c>
    </row>
    <row r="68" spans="1:2">
      <c r="A68" s="110">
        <v>40544</v>
      </c>
      <c r="B68" s="111">
        <v>94.904240000000001</v>
      </c>
    </row>
    <row r="69" spans="1:2">
      <c r="A69" s="110">
        <v>40909</v>
      </c>
      <c r="B69" s="111">
        <v>96.86811999999999</v>
      </c>
    </row>
    <row r="70" spans="1:2">
      <c r="A70" s="110">
        <v>41275</v>
      </c>
      <c r="B70" s="111">
        <v>98.287080000000003</v>
      </c>
    </row>
    <row r="71" spans="1:2">
      <c r="A71" s="110">
        <v>41640</v>
      </c>
      <c r="B71" s="111">
        <v>99.881519999999995</v>
      </c>
    </row>
    <row r="72" spans="1:2">
      <c r="A72" s="110">
        <v>42005</v>
      </c>
      <c r="B72" s="111">
        <v>100</v>
      </c>
    </row>
    <row r="73" spans="1:2">
      <c r="A73" s="110">
        <v>42370</v>
      </c>
      <c r="B73" s="111">
        <v>101.2616</v>
      </c>
    </row>
    <row r="74" spans="1:2">
      <c r="A74" s="110">
        <v>42736</v>
      </c>
      <c r="B74" s="111">
        <v>103.4186</v>
      </c>
    </row>
    <row r="75" spans="1:2">
      <c r="A75" s="110">
        <v>43101</v>
      </c>
      <c r="B75" s="111">
        <v>105.94459999999999</v>
      </c>
    </row>
    <row r="76" spans="1:2">
      <c r="A76" s="110">
        <v>43466</v>
      </c>
      <c r="B76" s="111">
        <v>107.8646</v>
      </c>
    </row>
    <row r="77" spans="1:2">
      <c r="A77" s="110">
        <v>43831</v>
      </c>
      <c r="B77" s="111">
        <v>109.1952</v>
      </c>
    </row>
    <row r="78" spans="1:2">
      <c r="A78" s="110">
        <v>44197</v>
      </c>
      <c r="B78" s="111">
        <v>114.325</v>
      </c>
    </row>
    <row r="79" spans="1:2">
      <c r="A79" s="110">
        <v>44562</v>
      </c>
      <c r="B79" s="111">
        <v>123.4742</v>
      </c>
    </row>
    <row r="80" spans="1:2">
      <c r="A80" s="110">
        <v>44927</v>
      </c>
      <c r="B80" s="111">
        <v>128.55690000000001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30"/>
  <sheetViews>
    <sheetView workbookViewId="0">
      <selection activeCell="R52" sqref="R52"/>
    </sheetView>
  </sheetViews>
  <sheetFormatPr baseColWidth="10" defaultColWidth="8.83203125" defaultRowHeight="13"/>
  <cols>
    <col min="3" max="3" width="13.1640625" customWidth="1"/>
    <col min="5" max="5" width="16" customWidth="1"/>
  </cols>
  <sheetData>
    <row r="1" spans="1:10">
      <c r="A1" t="s">
        <v>1843</v>
      </c>
    </row>
    <row r="2" spans="1:10">
      <c r="A2" t="s">
        <v>1816</v>
      </c>
      <c r="B2" t="s">
        <v>1786</v>
      </c>
      <c r="C2" t="s">
        <v>1823</v>
      </c>
      <c r="D2" t="s">
        <v>1818</v>
      </c>
      <c r="E2" t="s">
        <v>1943</v>
      </c>
      <c r="F2" t="s">
        <v>1944</v>
      </c>
      <c r="G2" t="s">
        <v>1947</v>
      </c>
      <c r="H2" t="s">
        <v>1945</v>
      </c>
      <c r="J2" t="s">
        <v>1946</v>
      </c>
    </row>
    <row r="3" spans="1:10">
      <c r="A3">
        <v>17</v>
      </c>
      <c r="B3">
        <v>0.4</v>
      </c>
      <c r="C3">
        <v>26.232571521528278</v>
      </c>
      <c r="D3" t="s">
        <v>1236</v>
      </c>
      <c r="E3">
        <f>C3*('CPI USA'!$E$12)*('CPI USA'!$B$80/'CPI USA'!$B$74)</f>
        <v>36.861223944862608</v>
      </c>
      <c r="F3">
        <v>23.22</v>
      </c>
      <c r="G3">
        <f>E3/$F$3</f>
        <v>1.5874773447399919</v>
      </c>
      <c r="H3">
        <v>36.270000000000003</v>
      </c>
      <c r="J3">
        <v>31.07</v>
      </c>
    </row>
    <row r="4" spans="1:10">
      <c r="A4">
        <v>17</v>
      </c>
      <c r="B4">
        <v>0.8</v>
      </c>
      <c r="C4">
        <v>17.657364715604523</v>
      </c>
      <c r="D4" t="s">
        <v>1236</v>
      </c>
      <c r="E4">
        <f>C4*('CPI USA'!$E$12)*('CPI USA'!$B$80/'CPI USA'!$B$74)</f>
        <v>24.811600133210828</v>
      </c>
      <c r="F4">
        <v>23.22</v>
      </c>
      <c r="G4">
        <f t="shared" ref="G4:G67" si="0">E4/$F$3</f>
        <v>1.0685443640487007</v>
      </c>
    </row>
    <row r="5" spans="1:10">
      <c r="A5">
        <v>50</v>
      </c>
      <c r="B5">
        <v>0.04</v>
      </c>
      <c r="C5">
        <v>3.4407372879399885E-2</v>
      </c>
      <c r="D5" t="s">
        <v>1507</v>
      </c>
      <c r="E5">
        <f>C5*('CPI USA'!$E$12)*('CPI USA'!$B$80/'CPI USA'!$B$74)</f>
        <v>4.8348210011401202E-2</v>
      </c>
      <c r="F5">
        <v>23.22</v>
      </c>
      <c r="G5">
        <f t="shared" si="0"/>
        <v>2.0821795870543153E-3</v>
      </c>
    </row>
    <row r="6" spans="1:10">
      <c r="A6">
        <v>50</v>
      </c>
      <c r="B6">
        <v>0.08</v>
      </c>
      <c r="C6">
        <v>0.13762949151759954</v>
      </c>
      <c r="D6" t="s">
        <v>1507</v>
      </c>
      <c r="E6">
        <f>C6*('CPI USA'!$E$12)*('CPI USA'!$B$80/'CPI USA'!$B$74)</f>
        <v>0.19339284004560481</v>
      </c>
      <c r="F6">
        <v>23.22</v>
      </c>
      <c r="G6">
        <f t="shared" si="0"/>
        <v>8.3287183482172612E-3</v>
      </c>
    </row>
    <row r="7" spans="1:10">
      <c r="A7">
        <v>50</v>
      </c>
      <c r="B7">
        <v>0.12</v>
      </c>
      <c r="C7">
        <v>0.2580552965954992</v>
      </c>
      <c r="D7" t="s">
        <v>1507</v>
      </c>
      <c r="E7">
        <f>C7*('CPI USA'!$E$12)*('CPI USA'!$B$80/'CPI USA'!$B$74)</f>
        <v>0.36261157508550906</v>
      </c>
      <c r="F7">
        <v>23.22</v>
      </c>
      <c r="G7">
        <f t="shared" si="0"/>
        <v>1.5616346902907368E-2</v>
      </c>
    </row>
    <row r="8" spans="1:10">
      <c r="A8">
        <v>50</v>
      </c>
      <c r="B8">
        <v>0.16</v>
      </c>
      <c r="C8">
        <v>0.37848110167339882</v>
      </c>
      <c r="D8" t="s">
        <v>1507</v>
      </c>
      <c r="E8">
        <f>C8*('CPI USA'!$E$12)*('CPI USA'!$B$80/'CPI USA'!$B$74)</f>
        <v>0.53183031012541326</v>
      </c>
      <c r="F8">
        <v>23.22</v>
      </c>
      <c r="G8">
        <f t="shared" si="0"/>
        <v>2.290397545759747E-2</v>
      </c>
    </row>
    <row r="9" spans="1:10">
      <c r="A9">
        <v>50</v>
      </c>
      <c r="B9">
        <v>0.2</v>
      </c>
      <c r="C9">
        <v>0.51611059319099839</v>
      </c>
      <c r="D9" t="s">
        <v>1507</v>
      </c>
      <c r="E9">
        <f>C9*('CPI USA'!$E$12)*('CPI USA'!$B$80/'CPI USA'!$B$74)</f>
        <v>0.72522315017101813</v>
      </c>
      <c r="F9">
        <v>23.22</v>
      </c>
      <c r="G9">
        <f t="shared" si="0"/>
        <v>3.1232693805814737E-2</v>
      </c>
    </row>
    <row r="10" spans="1:10">
      <c r="A10">
        <v>50</v>
      </c>
      <c r="B10">
        <v>0.04</v>
      </c>
      <c r="C10">
        <v>8.6018432198499722E-2</v>
      </c>
      <c r="D10" t="s">
        <v>1507</v>
      </c>
      <c r="E10">
        <f>C10*('CPI USA'!$E$12)*('CPI USA'!$B$80/'CPI USA'!$B$74)</f>
        <v>0.12087052502850301</v>
      </c>
      <c r="F10">
        <v>23.22</v>
      </c>
      <c r="G10">
        <f t="shared" si="0"/>
        <v>5.2054489676357889E-3</v>
      </c>
    </row>
    <row r="11" spans="1:10">
      <c r="A11">
        <v>50</v>
      </c>
      <c r="B11">
        <v>0.08</v>
      </c>
      <c r="C11">
        <v>0.2580552965954992</v>
      </c>
      <c r="D11" t="s">
        <v>1507</v>
      </c>
      <c r="E11">
        <f>C11*('CPI USA'!$E$12)*('CPI USA'!$B$80/'CPI USA'!$B$74)</f>
        <v>0.36261157508550906</v>
      </c>
      <c r="F11">
        <v>23.22</v>
      </c>
      <c r="G11">
        <f t="shared" si="0"/>
        <v>1.5616346902907368E-2</v>
      </c>
    </row>
    <row r="12" spans="1:10">
      <c r="A12">
        <v>50</v>
      </c>
      <c r="B12">
        <v>0.12</v>
      </c>
      <c r="C12">
        <v>0.46449953387189852</v>
      </c>
      <c r="D12" t="s">
        <v>1507</v>
      </c>
      <c r="E12">
        <f>C12*('CPI USA'!$E$12)*('CPI USA'!$B$80/'CPI USA'!$B$74)</f>
        <v>0.6527008351539163</v>
      </c>
      <c r="F12">
        <v>23.22</v>
      </c>
      <c r="G12">
        <f t="shared" si="0"/>
        <v>2.8109424425233263E-2</v>
      </c>
    </row>
    <row r="13" spans="1:10">
      <c r="A13">
        <v>50</v>
      </c>
      <c r="B13">
        <v>0.16</v>
      </c>
      <c r="C13">
        <v>0.70535114402769761</v>
      </c>
      <c r="D13" t="s">
        <v>1507</v>
      </c>
      <c r="E13">
        <f>C13*('CPI USA'!$E$12)*('CPI USA'!$B$80/'CPI USA'!$B$74)</f>
        <v>0.99113830523372448</v>
      </c>
      <c r="F13">
        <v>23.22</v>
      </c>
      <c r="G13">
        <f t="shared" si="0"/>
        <v>4.268468153461346E-2</v>
      </c>
    </row>
    <row r="14" spans="1:10">
      <c r="A14">
        <v>50</v>
      </c>
      <c r="B14">
        <v>0.2</v>
      </c>
      <c r="C14">
        <v>0.94620275418349697</v>
      </c>
      <c r="D14" t="s">
        <v>1507</v>
      </c>
      <c r="E14">
        <f>C14*('CPI USA'!$E$12)*('CPI USA'!$B$80/'CPI USA'!$B$74)</f>
        <v>1.3295757753135331</v>
      </c>
      <c r="F14">
        <v>23.22</v>
      </c>
      <c r="G14">
        <f t="shared" si="0"/>
        <v>5.7259938643993674E-2</v>
      </c>
    </row>
    <row r="15" spans="1:10">
      <c r="A15">
        <v>336</v>
      </c>
      <c r="B15">
        <v>0.33</v>
      </c>
      <c r="C15">
        <v>20.232619430179959</v>
      </c>
      <c r="D15" t="s">
        <v>1508</v>
      </c>
      <c r="E15">
        <f>C15*('CPI USA'!$E$12)*('CPI USA'!$B$80/'CPI USA'!$B$74)</f>
        <v>28.430270939888118</v>
      </c>
      <c r="F15">
        <v>23.22</v>
      </c>
      <c r="G15">
        <f t="shared" si="0"/>
        <v>1.224387206713528</v>
      </c>
    </row>
    <row r="16" spans="1:10">
      <c r="A16">
        <v>355</v>
      </c>
      <c r="B16">
        <v>0.05</v>
      </c>
      <c r="C16">
        <v>3.3665374484769277</v>
      </c>
      <c r="D16" t="s">
        <v>1518</v>
      </c>
      <c r="E16">
        <f>C16*('CPI USA'!$E$12)*('CPI USA'!$B$80/'CPI USA'!$B$74)</f>
        <v>4.7305576087054089</v>
      </c>
      <c r="F16">
        <v>23.22</v>
      </c>
      <c r="G16">
        <f t="shared" si="0"/>
        <v>0.20372771785983673</v>
      </c>
    </row>
    <row r="17" spans="1:7">
      <c r="A17">
        <v>355</v>
      </c>
      <c r="B17">
        <v>0.1</v>
      </c>
      <c r="C17">
        <v>4.1415381522066959</v>
      </c>
      <c r="D17" t="s">
        <v>1518</v>
      </c>
      <c r="E17">
        <f>C17*('CPI USA'!$E$12)*('CPI USA'!$B$80/'CPI USA'!$B$74)</f>
        <v>5.8195653895157893</v>
      </c>
      <c r="F17">
        <v>23.22</v>
      </c>
      <c r="G17">
        <f t="shared" si="0"/>
        <v>0.25062727775692462</v>
      </c>
    </row>
    <row r="18" spans="1:7">
      <c r="A18">
        <v>355</v>
      </c>
      <c r="B18">
        <v>0.15</v>
      </c>
      <c r="C18">
        <v>4.2235488086860364</v>
      </c>
      <c r="D18" t="s">
        <v>1518</v>
      </c>
      <c r="E18">
        <f>C18*('CPI USA'!$E$12)*('CPI USA'!$B$80/'CPI USA'!$B$74)</f>
        <v>5.9348043081200617</v>
      </c>
      <c r="F18">
        <v>23.22</v>
      </c>
      <c r="G18">
        <f t="shared" si="0"/>
        <v>0.25559019414815082</v>
      </c>
    </row>
    <row r="19" spans="1:7">
      <c r="A19">
        <v>355</v>
      </c>
      <c r="B19">
        <v>0.2</v>
      </c>
      <c r="C19">
        <v>4.2368755403639291</v>
      </c>
      <c r="D19" t="s">
        <v>1518</v>
      </c>
      <c r="E19">
        <f>C19*('CPI USA'!$E$12)*('CPI USA'!$B$80/'CPI USA'!$B$74)</f>
        <v>5.9535306323932558</v>
      </c>
      <c r="F19">
        <v>23.22</v>
      </c>
      <c r="G19">
        <f t="shared" si="0"/>
        <v>0.25639666806172506</v>
      </c>
    </row>
    <row r="20" spans="1:7">
      <c r="A20">
        <v>355</v>
      </c>
      <c r="B20">
        <v>0.25</v>
      </c>
      <c r="C20">
        <v>4.6633309540564998</v>
      </c>
      <c r="D20" t="s">
        <v>1518</v>
      </c>
      <c r="E20">
        <f>C20*('CPI USA'!$E$12)*('CPI USA'!$B$80/'CPI USA'!$B$74)</f>
        <v>6.5527730091354766</v>
      </c>
      <c r="F20">
        <v>23.22</v>
      </c>
      <c r="G20">
        <f t="shared" si="0"/>
        <v>0.28220383329610149</v>
      </c>
    </row>
    <row r="21" spans="1:7">
      <c r="A21">
        <v>355</v>
      </c>
      <c r="B21">
        <v>0.3</v>
      </c>
      <c r="C21">
        <v>5.0200773097416311</v>
      </c>
      <c r="D21" t="s">
        <v>1518</v>
      </c>
      <c r="E21">
        <f>C21*('CPI USA'!$E$12)*('CPI USA'!$B$80/'CPI USA'!$B$74)</f>
        <v>7.0540623050640638</v>
      </c>
      <c r="F21">
        <v>23.22</v>
      </c>
      <c r="G21">
        <f t="shared" si="0"/>
        <v>0.30379251959793557</v>
      </c>
    </row>
    <row r="22" spans="1:7">
      <c r="A22">
        <v>355</v>
      </c>
      <c r="B22">
        <v>0.35</v>
      </c>
      <c r="C22">
        <v>4.9001367246405962</v>
      </c>
      <c r="D22" t="s">
        <v>1518</v>
      </c>
      <c r="E22">
        <f>C22*('CPI USA'!$E$12)*('CPI USA'!$B$80/'CPI USA'!$B$74)</f>
        <v>6.8855253866053161</v>
      </c>
      <c r="F22">
        <v>23.22</v>
      </c>
      <c r="G22">
        <f t="shared" si="0"/>
        <v>0.2965342543757673</v>
      </c>
    </row>
    <row r="23" spans="1:7">
      <c r="A23">
        <v>355</v>
      </c>
      <c r="B23">
        <v>0.4</v>
      </c>
      <c r="C23">
        <v>5.3891252638986629</v>
      </c>
      <c r="D23" t="s">
        <v>1518</v>
      </c>
      <c r="E23">
        <f>C23*('CPI USA'!$E$12)*('CPI USA'!$B$80/'CPI USA'!$B$74)</f>
        <v>7.5726374387832927</v>
      </c>
      <c r="F23">
        <v>23.22</v>
      </c>
      <c r="G23">
        <f t="shared" si="0"/>
        <v>0.32612564335845362</v>
      </c>
    </row>
    <row r="24" spans="1:7">
      <c r="A24">
        <v>403</v>
      </c>
      <c r="D24" t="s">
        <v>1529</v>
      </c>
      <c r="E24">
        <f>C24*('CPI USA'!$E$12)*('CPI USA'!$B$80/'CPI USA'!$B$74)</f>
        <v>0</v>
      </c>
    </row>
    <row r="25" spans="1:7">
      <c r="A25">
        <v>403</v>
      </c>
      <c r="D25" t="s">
        <v>1529</v>
      </c>
      <c r="E25">
        <f>C25*('CPI USA'!$E$12)*('CPI USA'!$B$80/'CPI USA'!$B$74)</f>
        <v>0</v>
      </c>
    </row>
    <row r="26" spans="1:7">
      <c r="A26">
        <v>403</v>
      </c>
      <c r="D26" t="s">
        <v>1529</v>
      </c>
      <c r="E26">
        <f>C26*('CPI USA'!$E$12)*('CPI USA'!$B$80/'CPI USA'!$B$74)</f>
        <v>0</v>
      </c>
    </row>
    <row r="27" spans="1:7">
      <c r="A27">
        <v>403</v>
      </c>
      <c r="D27" t="s">
        <v>1529</v>
      </c>
      <c r="E27">
        <f>C27*('CPI USA'!$E$12)*('CPI USA'!$B$80/'CPI USA'!$B$74)</f>
        <v>0</v>
      </c>
    </row>
    <row r="28" spans="1:7">
      <c r="A28">
        <v>403</v>
      </c>
      <c r="D28" t="s">
        <v>1529</v>
      </c>
      <c r="E28">
        <f>C28*('CPI USA'!$E$12)*('CPI USA'!$B$80/'CPI USA'!$B$74)</f>
        <v>0</v>
      </c>
    </row>
    <row r="29" spans="1:7">
      <c r="A29">
        <v>403</v>
      </c>
      <c r="D29" t="s">
        <v>1529</v>
      </c>
      <c r="E29">
        <f>C29*('CPI USA'!$E$12)*('CPI USA'!$B$80/'CPI USA'!$B$74)</f>
        <v>0</v>
      </c>
    </row>
    <row r="30" spans="1:7">
      <c r="A30">
        <v>403</v>
      </c>
      <c r="D30" t="s">
        <v>1529</v>
      </c>
      <c r="E30">
        <f>C30*('CPI USA'!$E$12)*('CPI USA'!$B$80/'CPI USA'!$B$74)</f>
        <v>0</v>
      </c>
    </row>
    <row r="31" spans="1:7">
      <c r="A31">
        <v>403</v>
      </c>
      <c r="D31" t="s">
        <v>1529</v>
      </c>
      <c r="E31">
        <f>C31*('CPI USA'!$E$12)*('CPI USA'!$B$80/'CPI USA'!$B$74)</f>
        <v>0</v>
      </c>
    </row>
    <row r="32" spans="1:7">
      <c r="A32">
        <v>403</v>
      </c>
      <c r="D32" t="s">
        <v>1529</v>
      </c>
      <c r="E32">
        <f>C32*('CPI USA'!$E$12)*('CPI USA'!$B$80/'CPI USA'!$B$74)</f>
        <v>0</v>
      </c>
    </row>
    <row r="33" spans="1:7">
      <c r="A33">
        <v>403</v>
      </c>
      <c r="D33" t="s">
        <v>1529</v>
      </c>
      <c r="E33">
        <f>C33*('CPI USA'!$E$12)*('CPI USA'!$B$80/'CPI USA'!$B$74)</f>
        <v>0</v>
      </c>
    </row>
    <row r="34" spans="1:7">
      <c r="A34">
        <v>403</v>
      </c>
      <c r="D34" t="s">
        <v>1529</v>
      </c>
      <c r="E34">
        <f>C34*('CPI USA'!$E$12)*('CPI USA'!$B$80/'CPI USA'!$B$74)</f>
        <v>0</v>
      </c>
    </row>
    <row r="35" spans="1:7">
      <c r="A35">
        <v>403</v>
      </c>
      <c r="D35" t="s">
        <v>1529</v>
      </c>
      <c r="E35">
        <f>C35*('CPI USA'!$E$12)*('CPI USA'!$B$80/'CPI USA'!$B$74)</f>
        <v>0</v>
      </c>
    </row>
    <row r="36" spans="1:7">
      <c r="A36">
        <v>403</v>
      </c>
      <c r="D36" t="s">
        <v>1529</v>
      </c>
      <c r="E36">
        <f>C36*('CPI USA'!$E$12)*('CPI USA'!$B$80/'CPI USA'!$B$74)</f>
        <v>0</v>
      </c>
    </row>
    <row r="37" spans="1:7">
      <c r="A37">
        <v>403</v>
      </c>
      <c r="D37" t="s">
        <v>1529</v>
      </c>
      <c r="E37">
        <f>C37*('CPI USA'!$E$12)*('CPI USA'!$B$80/'CPI USA'!$B$74)</f>
        <v>0</v>
      </c>
    </row>
    <row r="38" spans="1:7">
      <c r="A38">
        <v>403</v>
      </c>
      <c r="D38" t="s">
        <v>1529</v>
      </c>
      <c r="E38">
        <f>C38*('CPI USA'!$E$12)*('CPI USA'!$B$80/'CPI USA'!$B$74)</f>
        <v>0</v>
      </c>
    </row>
    <row r="39" spans="1:7">
      <c r="A39">
        <v>403</v>
      </c>
      <c r="D39" t="s">
        <v>1529</v>
      </c>
      <c r="E39">
        <f>C39*('CPI USA'!$E$12)*('CPI USA'!$B$80/'CPI USA'!$B$74)</f>
        <v>0</v>
      </c>
    </row>
    <row r="40" spans="1:7">
      <c r="A40">
        <v>403</v>
      </c>
      <c r="D40" t="s">
        <v>1529</v>
      </c>
      <c r="E40">
        <f>C40*('CPI USA'!$E$12)*('CPI USA'!$B$80/'CPI USA'!$B$74)</f>
        <v>0</v>
      </c>
    </row>
    <row r="41" spans="1:7">
      <c r="A41">
        <v>403</v>
      </c>
      <c r="D41" t="s">
        <v>1529</v>
      </c>
      <c r="E41">
        <f>C41*('CPI USA'!$E$12)*('CPI USA'!$B$80/'CPI USA'!$B$74)</f>
        <v>0</v>
      </c>
    </row>
    <row r="42" spans="1:7">
      <c r="A42">
        <v>413</v>
      </c>
      <c r="B42">
        <v>0.27100000000000002</v>
      </c>
      <c r="C42">
        <v>6.4308535070140289</v>
      </c>
      <c r="D42" t="s">
        <v>1529</v>
      </c>
      <c r="E42">
        <f>C42*('CPI USA'!$E$12)*('CPI USA'!$B$80/'CPI USA'!$B$74)</f>
        <v>9.0364427705499697</v>
      </c>
      <c r="F42">
        <v>23.22</v>
      </c>
      <c r="G42">
        <f t="shared" si="0"/>
        <v>0.38916635532084282</v>
      </c>
    </row>
    <row r="43" spans="1:7">
      <c r="A43">
        <v>413</v>
      </c>
      <c r="B43">
        <v>0.32600000000000001</v>
      </c>
      <c r="C43">
        <v>7.5741163527054107</v>
      </c>
      <c r="D43" t="s">
        <v>1529</v>
      </c>
      <c r="E43">
        <f>C43*('CPI USA'!$E$12)*('CPI USA'!$B$80/'CPI USA'!$B$74)</f>
        <v>10.642921485314407</v>
      </c>
      <c r="F43">
        <v>23.22</v>
      </c>
      <c r="G43">
        <f t="shared" si="0"/>
        <v>0.45835148515565921</v>
      </c>
    </row>
    <row r="44" spans="1:7">
      <c r="A44">
        <v>413</v>
      </c>
      <c r="B44">
        <v>0.41699999999999998</v>
      </c>
      <c r="C44">
        <v>9.2890106212424861</v>
      </c>
      <c r="D44" t="s">
        <v>1529</v>
      </c>
      <c r="E44">
        <f>C44*('CPI USA'!$E$12)*('CPI USA'!$B$80/'CPI USA'!$B$74)</f>
        <v>13.052639557461067</v>
      </c>
      <c r="F44">
        <v>23.22</v>
      </c>
      <c r="G44">
        <f t="shared" si="0"/>
        <v>0.56212917990788402</v>
      </c>
    </row>
    <row r="45" spans="1:7">
      <c r="A45">
        <v>433</v>
      </c>
      <c r="B45">
        <v>0.05</v>
      </c>
      <c r="C45">
        <v>1.5737845882482637</v>
      </c>
      <c r="D45" t="s">
        <v>1507</v>
      </c>
      <c r="E45">
        <f>C45*('CPI USA'!$E$12)*('CPI USA'!$B$80/'CPI USA'!$B$74)</f>
        <v>2.2114349750570299</v>
      </c>
      <c r="F45">
        <v>23.22</v>
      </c>
      <c r="G45">
        <f t="shared" si="0"/>
        <v>9.523837101882128E-2</v>
      </c>
    </row>
    <row r="46" spans="1:7">
      <c r="A46">
        <v>433</v>
      </c>
      <c r="B46">
        <v>0.1</v>
      </c>
      <c r="C46">
        <v>2.6979164369970237</v>
      </c>
      <c r="D46" t="s">
        <v>1507</v>
      </c>
      <c r="E46">
        <f>C46*('CPI USA'!$E$12)*('CPI USA'!$B$80/'CPI USA'!$B$74)</f>
        <v>3.7910313858120515</v>
      </c>
      <c r="F46">
        <v>23.22</v>
      </c>
      <c r="G46">
        <f t="shared" si="0"/>
        <v>0.16326577888940791</v>
      </c>
    </row>
    <row r="47" spans="1:7">
      <c r="A47">
        <v>433</v>
      </c>
      <c r="B47">
        <v>0.15</v>
      </c>
      <c r="C47">
        <v>3.2599823613714038</v>
      </c>
      <c r="D47" t="s">
        <v>1507</v>
      </c>
      <c r="E47">
        <f>C47*('CPI USA'!$E$12)*('CPI USA'!$B$80/'CPI USA'!$B$74)</f>
        <v>4.5808295911895627</v>
      </c>
      <c r="F47">
        <v>23.22</v>
      </c>
      <c r="G47">
        <f t="shared" si="0"/>
        <v>0.19727948282470126</v>
      </c>
    </row>
    <row r="48" spans="1:7">
      <c r="A48">
        <v>433</v>
      </c>
      <c r="B48">
        <v>0.2</v>
      </c>
      <c r="C48">
        <v>3.8220482857457836</v>
      </c>
      <c r="D48" t="s">
        <v>1507</v>
      </c>
      <c r="E48">
        <f>C48*('CPI USA'!$E$12)*('CPI USA'!$B$80/'CPI USA'!$B$74)</f>
        <v>5.3706277965670735</v>
      </c>
      <c r="F48">
        <v>23.22</v>
      </c>
      <c r="G48">
        <f t="shared" si="0"/>
        <v>0.23129318675999455</v>
      </c>
    </row>
    <row r="49" spans="1:7">
      <c r="A49">
        <v>433</v>
      </c>
      <c r="B49">
        <v>5.2999999999999999E-2</v>
      </c>
      <c r="C49">
        <v>3.1475691764965275</v>
      </c>
      <c r="D49" t="s">
        <v>1516</v>
      </c>
      <c r="E49">
        <f>C49*('CPI USA'!$E$12)*('CPI USA'!$B$80/'CPI USA'!$B$74)</f>
        <v>4.4228699501140598</v>
      </c>
      <c r="F49">
        <v>23.22</v>
      </c>
      <c r="G49">
        <f t="shared" si="0"/>
        <v>0.19047674203764256</v>
      </c>
    </row>
    <row r="50" spans="1:7">
      <c r="A50">
        <v>433</v>
      </c>
      <c r="B50">
        <v>7.5999999999999998E-2</v>
      </c>
      <c r="C50">
        <v>4.2717010252452878</v>
      </c>
      <c r="D50" t="s">
        <v>1516</v>
      </c>
      <c r="E50">
        <f>C50*('CPI USA'!$E$12)*('CPI USA'!$B$80/'CPI USA'!$B$74)</f>
        <v>6.0024663608690823</v>
      </c>
      <c r="F50">
        <v>23.22</v>
      </c>
      <c r="G50">
        <f t="shared" si="0"/>
        <v>0.25850414990822923</v>
      </c>
    </row>
    <row r="51" spans="1:7">
      <c r="A51">
        <v>433</v>
      </c>
      <c r="B51">
        <v>0.15</v>
      </c>
      <c r="C51">
        <v>2.5855032521221477</v>
      </c>
      <c r="D51" t="s">
        <v>1516</v>
      </c>
      <c r="E51">
        <f>C51*('CPI USA'!$E$12)*('CPI USA'!$B$80/'CPI USA'!$B$74)</f>
        <v>3.6330717447365495</v>
      </c>
      <c r="F51">
        <v>23.22</v>
      </c>
      <c r="G51">
        <f t="shared" si="0"/>
        <v>0.15646303810234927</v>
      </c>
    </row>
    <row r="52" spans="1:7">
      <c r="A52">
        <v>433</v>
      </c>
      <c r="B52">
        <v>0.2</v>
      </c>
      <c r="C52">
        <v>3.4848087311211557</v>
      </c>
      <c r="D52" t="s">
        <v>1516</v>
      </c>
      <c r="E52">
        <f>C52*('CPI USA'!$E$12)*('CPI USA'!$B$80/'CPI USA'!$B$74)</f>
        <v>4.8967488733405666</v>
      </c>
      <c r="F52">
        <v>23.22</v>
      </c>
      <c r="G52">
        <f t="shared" si="0"/>
        <v>0.21088496439881857</v>
      </c>
    </row>
    <row r="53" spans="1:7">
      <c r="A53">
        <v>433</v>
      </c>
      <c r="B53">
        <v>0.25</v>
      </c>
      <c r="C53">
        <v>3.8220482857457836</v>
      </c>
      <c r="D53" t="s">
        <v>1516</v>
      </c>
      <c r="E53">
        <f>C53*('CPI USA'!$E$12)*('CPI USA'!$B$80/'CPI USA'!$B$74)</f>
        <v>5.3706277965670735</v>
      </c>
      <c r="F53">
        <v>23.22</v>
      </c>
      <c r="G53">
        <f t="shared" si="0"/>
        <v>0.23129318675999455</v>
      </c>
    </row>
    <row r="54" spans="1:7">
      <c r="A54">
        <v>433</v>
      </c>
      <c r="B54">
        <v>0.02</v>
      </c>
      <c r="C54">
        <v>0.33723955462462796</v>
      </c>
      <c r="D54" t="s">
        <v>1516</v>
      </c>
      <c r="E54">
        <f>C54*('CPI USA'!$E$12)*('CPI USA'!$B$80/'CPI USA'!$B$74)</f>
        <v>0.47387892322650643</v>
      </c>
      <c r="F54">
        <v>23.22</v>
      </c>
      <c r="G54">
        <f t="shared" si="0"/>
        <v>2.0408222361175989E-2</v>
      </c>
    </row>
    <row r="55" spans="1:7">
      <c r="A55">
        <v>434</v>
      </c>
      <c r="B55">
        <v>0.15</v>
      </c>
      <c r="C55">
        <v>4.305559465165377</v>
      </c>
      <c r="D55" t="s">
        <v>1531</v>
      </c>
      <c r="E55">
        <f>C55*('CPI USA'!$E$12)*('CPI USA'!$B$80/'CPI USA'!$B$74)</f>
        <v>6.0500432267243349</v>
      </c>
      <c r="F55">
        <v>23.22</v>
      </c>
      <c r="G55">
        <f t="shared" si="0"/>
        <v>0.26055311053937708</v>
      </c>
    </row>
    <row r="56" spans="1:7">
      <c r="A56">
        <v>434</v>
      </c>
      <c r="B56">
        <v>5.2999999999999999E-2</v>
      </c>
      <c r="C56">
        <v>2.8703729767769177</v>
      </c>
      <c r="D56" t="s">
        <v>1516</v>
      </c>
      <c r="E56">
        <f>C56*('CPI USA'!$E$12)*('CPI USA'!$B$80/'CPI USA'!$B$74)</f>
        <v>4.0333621511495563</v>
      </c>
      <c r="F56">
        <v>23.22</v>
      </c>
      <c r="G56">
        <f t="shared" si="0"/>
        <v>0.17370207369291801</v>
      </c>
    </row>
    <row r="57" spans="1:7">
      <c r="A57">
        <v>434</v>
      </c>
      <c r="B57">
        <v>7.4999999999999997E-2</v>
      </c>
      <c r="C57">
        <v>3.8955061827686741</v>
      </c>
      <c r="D57" t="s">
        <v>1516</v>
      </c>
      <c r="E57">
        <f>C57*('CPI USA'!$E$12)*('CPI USA'!$B$80/'CPI USA'!$B$74)</f>
        <v>5.4738486337029695</v>
      </c>
      <c r="F57">
        <v>23.22</v>
      </c>
      <c r="G57">
        <f t="shared" si="0"/>
        <v>0.2357385285832459</v>
      </c>
    </row>
    <row r="58" spans="1:7">
      <c r="A58">
        <v>434</v>
      </c>
      <c r="B58">
        <v>0.2</v>
      </c>
      <c r="C58">
        <v>4.5105861063637285</v>
      </c>
      <c r="D58" t="s">
        <v>1516</v>
      </c>
      <c r="E58">
        <f>C58*('CPI USA'!$E$12)*('CPI USA'!$B$80/'CPI USA'!$B$74)</f>
        <v>6.3381405232350181</v>
      </c>
      <c r="F58">
        <v>23.22</v>
      </c>
      <c r="G58">
        <f t="shared" si="0"/>
        <v>0.27296040151744266</v>
      </c>
    </row>
    <row r="59" spans="1:7">
      <c r="A59">
        <v>434</v>
      </c>
      <c r="B59">
        <v>0.3</v>
      </c>
      <c r="C59">
        <v>5.5357193123554849</v>
      </c>
      <c r="D59" t="s">
        <v>1516</v>
      </c>
      <c r="E59">
        <f>C59*('CPI USA'!$E$12)*('CPI USA'!$B$80/'CPI USA'!$B$74)</f>
        <v>7.7786270057884321</v>
      </c>
      <c r="F59">
        <v>23.22</v>
      </c>
      <c r="G59">
        <f t="shared" si="0"/>
        <v>0.33499685640777055</v>
      </c>
    </row>
    <row r="60" spans="1:7">
      <c r="A60">
        <v>374</v>
      </c>
      <c r="B60">
        <v>0.1</v>
      </c>
      <c r="C60">
        <v>2.186791235265336</v>
      </c>
      <c r="D60" t="s">
        <v>1532</v>
      </c>
      <c r="E60">
        <f>C60*('CPI USA'!$E$12)*('CPI USA'!$B$80/'CPI USA'!$B$74)</f>
        <v>3.0728135584277703</v>
      </c>
      <c r="F60">
        <v>23.22</v>
      </c>
      <c r="G60">
        <f t="shared" si="0"/>
        <v>0.13233477857139408</v>
      </c>
    </row>
    <row r="61" spans="1:7">
      <c r="A61">
        <v>374</v>
      </c>
      <c r="B61">
        <v>0.3</v>
      </c>
      <c r="C61">
        <v>4.2925902025578822</v>
      </c>
      <c r="D61" t="s">
        <v>1532</v>
      </c>
      <c r="E61">
        <f>C61*('CPI USA'!$E$12)*('CPI USA'!$B$80/'CPI USA'!$B$74)</f>
        <v>6.0318192072841414</v>
      </c>
      <c r="F61">
        <v>23.22</v>
      </c>
      <c r="G61">
        <f t="shared" si="0"/>
        <v>0.25976826904755135</v>
      </c>
    </row>
    <row r="62" spans="1:7">
      <c r="A62">
        <v>374</v>
      </c>
      <c r="B62">
        <v>0.1</v>
      </c>
      <c r="C62">
        <v>2.186791235265336</v>
      </c>
      <c r="D62" t="s">
        <v>1532</v>
      </c>
      <c r="E62">
        <f>C62*('CPI USA'!$E$12)*('CPI USA'!$B$80/'CPI USA'!$B$74)</f>
        <v>3.0728135584277703</v>
      </c>
      <c r="F62">
        <v>23.22</v>
      </c>
      <c r="G62">
        <f t="shared" si="0"/>
        <v>0.13233477857139408</v>
      </c>
    </row>
    <row r="63" spans="1:7">
      <c r="A63">
        <v>374</v>
      </c>
      <c r="B63">
        <v>0.3</v>
      </c>
      <c r="C63">
        <v>4.2925902025578822</v>
      </c>
      <c r="D63" t="s">
        <v>1532</v>
      </c>
      <c r="E63">
        <f>C63*('CPI USA'!$E$12)*('CPI USA'!$B$80/'CPI USA'!$B$74)</f>
        <v>6.0318192072841414</v>
      </c>
      <c r="F63">
        <v>23.22</v>
      </c>
      <c r="G63">
        <f t="shared" si="0"/>
        <v>0.25976826904755135</v>
      </c>
    </row>
    <row r="64" spans="1:7">
      <c r="A64">
        <v>374</v>
      </c>
      <c r="B64">
        <v>0.1</v>
      </c>
      <c r="C64">
        <v>2.186791235265336</v>
      </c>
      <c r="D64" t="s">
        <v>1532</v>
      </c>
      <c r="E64">
        <f>C64*('CPI USA'!$E$12)*('CPI USA'!$B$80/'CPI USA'!$B$74)</f>
        <v>3.0728135584277703</v>
      </c>
      <c r="F64">
        <v>23.22</v>
      </c>
      <c r="G64">
        <f t="shared" si="0"/>
        <v>0.13233477857139408</v>
      </c>
    </row>
    <row r="65" spans="1:7">
      <c r="A65">
        <v>374</v>
      </c>
      <c r="B65">
        <v>0.3</v>
      </c>
      <c r="C65">
        <v>4.2925902025578822</v>
      </c>
      <c r="D65" t="s">
        <v>1532</v>
      </c>
      <c r="E65">
        <f>C65*('CPI USA'!$E$12)*('CPI USA'!$B$80/'CPI USA'!$B$74)</f>
        <v>6.0318192072841414</v>
      </c>
      <c r="F65">
        <v>23.22</v>
      </c>
      <c r="G65">
        <f t="shared" si="0"/>
        <v>0.25976826904755135</v>
      </c>
    </row>
    <row r="66" spans="1:7">
      <c r="A66">
        <v>374</v>
      </c>
      <c r="B66">
        <v>0.1</v>
      </c>
      <c r="C66">
        <v>1.5388530914830143</v>
      </c>
      <c r="D66" t="s">
        <v>1533</v>
      </c>
      <c r="E66">
        <f>C66*('CPI USA'!$E$12)*('CPI USA'!$B$80/'CPI USA'!$B$74)</f>
        <v>2.162350281856579</v>
      </c>
      <c r="F66">
        <v>23.22</v>
      </c>
      <c r="G66">
        <f t="shared" si="0"/>
        <v>9.3124473809499522E-2</v>
      </c>
    </row>
    <row r="67" spans="1:7">
      <c r="A67">
        <v>374</v>
      </c>
      <c r="B67">
        <v>0.3</v>
      </c>
      <c r="C67">
        <v>4.0577126254367899</v>
      </c>
      <c r="D67" t="s">
        <v>1533</v>
      </c>
      <c r="E67">
        <f>C67*('CPI USA'!$E$12)*('CPI USA'!$B$80/'CPI USA'!$B$74)</f>
        <v>5.7017762695270839</v>
      </c>
      <c r="F67">
        <v>23.22</v>
      </c>
      <c r="G67">
        <f t="shared" si="0"/>
        <v>0.24555453357136453</v>
      </c>
    </row>
    <row r="68" spans="1:7">
      <c r="A68">
        <v>374</v>
      </c>
      <c r="B68">
        <v>0.1</v>
      </c>
      <c r="C68">
        <v>1.5388530914830143</v>
      </c>
      <c r="D68" t="s">
        <v>1533</v>
      </c>
      <c r="E68">
        <f>C68*('CPI USA'!$E$12)*('CPI USA'!$B$80/'CPI USA'!$B$74)</f>
        <v>2.162350281856579</v>
      </c>
      <c r="F68">
        <v>23.22</v>
      </c>
      <c r="G68">
        <f t="shared" ref="G68:G130" si="1">E68/$F$3</f>
        <v>9.3124473809499522E-2</v>
      </c>
    </row>
    <row r="69" spans="1:7">
      <c r="A69">
        <v>374</v>
      </c>
      <c r="B69">
        <v>0.3</v>
      </c>
      <c r="C69">
        <v>4.0577126254367899</v>
      </c>
      <c r="D69" t="s">
        <v>1533</v>
      </c>
      <c r="E69">
        <f>C69*('CPI USA'!$E$12)*('CPI USA'!$B$80/'CPI USA'!$B$74)</f>
        <v>5.7017762695270839</v>
      </c>
      <c r="F69">
        <v>23.22</v>
      </c>
      <c r="G69">
        <f t="shared" si="1"/>
        <v>0.24555453357136453</v>
      </c>
    </row>
    <row r="70" spans="1:7">
      <c r="A70">
        <v>374</v>
      </c>
      <c r="B70">
        <v>0.1</v>
      </c>
      <c r="C70">
        <v>1.5388530914830143</v>
      </c>
      <c r="D70" t="s">
        <v>1533</v>
      </c>
      <c r="E70">
        <f>C70*('CPI USA'!$E$12)*('CPI USA'!$B$80/'CPI USA'!$B$74)</f>
        <v>2.162350281856579</v>
      </c>
      <c r="F70">
        <v>23.22</v>
      </c>
      <c r="G70">
        <f t="shared" si="1"/>
        <v>9.3124473809499522E-2</v>
      </c>
    </row>
    <row r="71" spans="1:7">
      <c r="A71">
        <v>374</v>
      </c>
      <c r="B71">
        <v>0.3</v>
      </c>
      <c r="C71">
        <v>4.0577126254367899</v>
      </c>
      <c r="D71" t="s">
        <v>1533</v>
      </c>
      <c r="E71">
        <f>C71*('CPI USA'!$E$12)*('CPI USA'!$B$80/'CPI USA'!$B$74)</f>
        <v>5.7017762695270839</v>
      </c>
      <c r="F71">
        <v>23.22</v>
      </c>
      <c r="G71">
        <f t="shared" si="1"/>
        <v>0.24555453357136453</v>
      </c>
    </row>
    <row r="72" spans="1:7">
      <c r="A72">
        <v>374</v>
      </c>
      <c r="B72">
        <v>0.1</v>
      </c>
      <c r="C72">
        <v>2.6727448431020773</v>
      </c>
      <c r="D72" t="s">
        <v>1530</v>
      </c>
      <c r="E72">
        <f>C72*('CPI USA'!$E$12)*('CPI USA'!$B$80/'CPI USA'!$B$74)</f>
        <v>3.7556610158561634</v>
      </c>
      <c r="F72">
        <v>23.22</v>
      </c>
      <c r="G72">
        <f t="shared" si="1"/>
        <v>0.16174250714281496</v>
      </c>
    </row>
    <row r="73" spans="1:7">
      <c r="A73">
        <v>374</v>
      </c>
      <c r="B73">
        <v>0.3</v>
      </c>
      <c r="C73">
        <v>5.1916043770558531</v>
      </c>
      <c r="D73" t="s">
        <v>1530</v>
      </c>
      <c r="E73">
        <f>C73*('CPI USA'!$E$12)*('CPI USA'!$B$80/'CPI USA'!$B$74)</f>
        <v>7.2950870035266693</v>
      </c>
      <c r="F73">
        <v>23.22</v>
      </c>
      <c r="G73">
        <f t="shared" si="1"/>
        <v>0.31417256690467998</v>
      </c>
    </row>
    <row r="74" spans="1:7">
      <c r="A74">
        <v>374</v>
      </c>
      <c r="B74">
        <v>0.1</v>
      </c>
      <c r="C74">
        <v>2.6727448431020773</v>
      </c>
      <c r="D74" t="s">
        <v>1530</v>
      </c>
      <c r="E74">
        <f>C74*('CPI USA'!$E$12)*('CPI USA'!$B$80/'CPI USA'!$B$74)</f>
        <v>3.7556610158561634</v>
      </c>
      <c r="F74">
        <v>23.22</v>
      </c>
      <c r="G74">
        <f t="shared" si="1"/>
        <v>0.16174250714281496</v>
      </c>
    </row>
    <row r="75" spans="1:7">
      <c r="A75">
        <v>374</v>
      </c>
      <c r="B75">
        <v>0.3</v>
      </c>
      <c r="C75">
        <v>5.1916043770558531</v>
      </c>
      <c r="D75" t="s">
        <v>1530</v>
      </c>
      <c r="E75">
        <f>C75*('CPI USA'!$E$12)*('CPI USA'!$B$80/'CPI USA'!$B$74)</f>
        <v>7.2950870035266693</v>
      </c>
      <c r="F75">
        <v>23.22</v>
      </c>
      <c r="G75">
        <f t="shared" si="1"/>
        <v>0.31417256690467998</v>
      </c>
    </row>
    <row r="76" spans="1:7">
      <c r="A76">
        <v>374</v>
      </c>
      <c r="B76">
        <v>0.1</v>
      </c>
      <c r="C76">
        <v>2.6727448431020773</v>
      </c>
      <c r="D76" t="s">
        <v>1530</v>
      </c>
      <c r="E76">
        <f>C76*('CPI USA'!$E$12)*('CPI USA'!$B$80/'CPI USA'!$B$74)</f>
        <v>3.7556610158561634</v>
      </c>
      <c r="F76">
        <v>23.22</v>
      </c>
      <c r="G76">
        <f t="shared" si="1"/>
        <v>0.16174250714281496</v>
      </c>
    </row>
    <row r="77" spans="1:7">
      <c r="A77">
        <v>374</v>
      </c>
      <c r="B77">
        <v>0.3</v>
      </c>
      <c r="C77">
        <v>5.1916043770558531</v>
      </c>
      <c r="D77" t="s">
        <v>1530</v>
      </c>
      <c r="E77">
        <f>C77*('CPI USA'!$E$12)*('CPI USA'!$B$80/'CPI USA'!$B$74)</f>
        <v>7.2950870035266693</v>
      </c>
      <c r="F77">
        <v>23.22</v>
      </c>
      <c r="G77">
        <f t="shared" si="1"/>
        <v>0.31417256690467998</v>
      </c>
    </row>
    <row r="78" spans="1:7">
      <c r="A78">
        <v>374</v>
      </c>
      <c r="B78">
        <v>0.1</v>
      </c>
      <c r="C78">
        <v>6.1797100463238941</v>
      </c>
      <c r="D78" t="s">
        <v>1534</v>
      </c>
      <c r="E78">
        <f>C78*('CPI USA'!$E$12)*('CPI USA'!$B$80/'CPI USA'!$B$74)</f>
        <v>8.6835435002977359</v>
      </c>
      <c r="F78">
        <v>23.22</v>
      </c>
      <c r="G78">
        <f t="shared" si="1"/>
        <v>0.3739682816665692</v>
      </c>
    </row>
    <row r="79" spans="1:7">
      <c r="A79">
        <v>374</v>
      </c>
      <c r="B79">
        <v>0.3</v>
      </c>
      <c r="C79">
        <v>11.460405918149815</v>
      </c>
      <c r="D79" t="s">
        <v>1534</v>
      </c>
      <c r="E79">
        <f>C79*('CPI USA'!$E$12)*('CPI USA'!$B$80/'CPI USA'!$B$74)</f>
        <v>16.103819204352941</v>
      </c>
      <c r="F79">
        <v>23.22</v>
      </c>
      <c r="G79">
        <f t="shared" si="1"/>
        <v>0.69353226547600955</v>
      </c>
    </row>
    <row r="80" spans="1:7">
      <c r="A80">
        <v>374</v>
      </c>
      <c r="B80">
        <v>0.1</v>
      </c>
      <c r="C80">
        <v>6.1797100463238941</v>
      </c>
      <c r="D80" t="s">
        <v>1534</v>
      </c>
      <c r="E80">
        <f>C80*('CPI USA'!$E$12)*('CPI USA'!$B$80/'CPI USA'!$B$74)</f>
        <v>8.6835435002977359</v>
      </c>
      <c r="F80">
        <v>23.22</v>
      </c>
      <c r="G80">
        <f t="shared" si="1"/>
        <v>0.3739682816665692</v>
      </c>
    </row>
    <row r="81" spans="1:7">
      <c r="A81">
        <v>374</v>
      </c>
      <c r="B81">
        <v>0.3</v>
      </c>
      <c r="C81">
        <v>11.460405918149815</v>
      </c>
      <c r="D81" t="s">
        <v>1534</v>
      </c>
      <c r="E81">
        <f>C81*('CPI USA'!$E$12)*('CPI USA'!$B$80/'CPI USA'!$B$74)</f>
        <v>16.103819204352941</v>
      </c>
      <c r="F81">
        <v>23.22</v>
      </c>
      <c r="G81">
        <f t="shared" si="1"/>
        <v>0.69353226547600955</v>
      </c>
    </row>
    <row r="82" spans="1:7">
      <c r="A82">
        <v>374</v>
      </c>
      <c r="B82">
        <v>0.1</v>
      </c>
      <c r="C82">
        <v>6.1797100463238941</v>
      </c>
      <c r="D82" t="s">
        <v>1534</v>
      </c>
      <c r="E82">
        <f>C82*('CPI USA'!$E$12)*('CPI USA'!$B$80/'CPI USA'!$B$74)</f>
        <v>8.6835435002977359</v>
      </c>
      <c r="F82">
        <v>23.22</v>
      </c>
      <c r="G82">
        <f t="shared" si="1"/>
        <v>0.3739682816665692</v>
      </c>
    </row>
    <row r="83" spans="1:7">
      <c r="A83">
        <v>374</v>
      </c>
      <c r="B83">
        <v>0.3</v>
      </c>
      <c r="C83">
        <v>11.460405918149815</v>
      </c>
      <c r="D83" t="s">
        <v>1534</v>
      </c>
      <c r="E83">
        <f>C83*('CPI USA'!$E$12)*('CPI USA'!$B$80/'CPI USA'!$B$74)</f>
        <v>16.103819204352941</v>
      </c>
      <c r="F83">
        <v>23.22</v>
      </c>
      <c r="G83">
        <f t="shared" si="1"/>
        <v>0.69353226547600955</v>
      </c>
    </row>
    <row r="84" spans="1:7">
      <c r="A84">
        <v>374</v>
      </c>
      <c r="B84">
        <v>0.1</v>
      </c>
      <c r="C84">
        <v>6.1797100463238941</v>
      </c>
      <c r="D84" t="s">
        <v>1507</v>
      </c>
      <c r="E84">
        <f>C84*('CPI USA'!$E$12)*('CPI USA'!$B$80/'CPI USA'!$B$74)</f>
        <v>8.6835435002977359</v>
      </c>
      <c r="F84">
        <v>23.22</v>
      </c>
      <c r="G84">
        <f t="shared" si="1"/>
        <v>0.3739682816665692</v>
      </c>
    </row>
    <row r="85" spans="1:7">
      <c r="A85">
        <v>374</v>
      </c>
      <c r="B85">
        <v>0.3</v>
      </c>
      <c r="C85">
        <v>11.460405918149815</v>
      </c>
      <c r="D85" t="s">
        <v>1507</v>
      </c>
      <c r="E85">
        <f>C85*('CPI USA'!$E$12)*('CPI USA'!$B$80/'CPI USA'!$B$74)</f>
        <v>16.103819204352941</v>
      </c>
      <c r="F85">
        <v>23.22</v>
      </c>
      <c r="G85">
        <f t="shared" si="1"/>
        <v>0.69353226547600955</v>
      </c>
    </row>
    <row r="86" spans="1:7">
      <c r="A86">
        <v>374</v>
      </c>
      <c r="B86">
        <v>0.1</v>
      </c>
      <c r="C86">
        <v>6.1797100463238941</v>
      </c>
      <c r="D86" t="s">
        <v>1507</v>
      </c>
      <c r="E86">
        <f>C86*('CPI USA'!$E$12)*('CPI USA'!$B$80/'CPI USA'!$B$74)</f>
        <v>8.6835435002977359</v>
      </c>
      <c r="F86">
        <v>23.22</v>
      </c>
      <c r="G86">
        <f t="shared" si="1"/>
        <v>0.3739682816665692</v>
      </c>
    </row>
    <row r="87" spans="1:7">
      <c r="A87">
        <v>374</v>
      </c>
      <c r="B87">
        <v>0.3</v>
      </c>
      <c r="C87">
        <v>11.460405918149815</v>
      </c>
      <c r="D87" t="s">
        <v>1507</v>
      </c>
      <c r="E87">
        <f>C87*('CPI USA'!$E$12)*('CPI USA'!$B$80/'CPI USA'!$B$74)</f>
        <v>16.103819204352941</v>
      </c>
      <c r="F87">
        <v>23.22</v>
      </c>
      <c r="G87">
        <f t="shared" si="1"/>
        <v>0.69353226547600955</v>
      </c>
    </row>
    <row r="88" spans="1:7">
      <c r="A88">
        <v>374</v>
      </c>
      <c r="B88">
        <v>0.1</v>
      </c>
      <c r="C88">
        <v>6.1797100463238941</v>
      </c>
      <c r="D88" t="s">
        <v>1507</v>
      </c>
      <c r="E88">
        <f>C88*('CPI USA'!$E$12)*('CPI USA'!$B$80/'CPI USA'!$B$74)</f>
        <v>8.6835435002977359</v>
      </c>
      <c r="F88">
        <v>23.22</v>
      </c>
      <c r="G88">
        <f t="shared" si="1"/>
        <v>0.3739682816665692</v>
      </c>
    </row>
    <row r="89" spans="1:7">
      <c r="A89">
        <v>374</v>
      </c>
      <c r="B89">
        <v>0.3</v>
      </c>
      <c r="C89">
        <v>11.460405918149815</v>
      </c>
      <c r="D89" t="s">
        <v>1507</v>
      </c>
      <c r="E89">
        <f>C89*('CPI USA'!$E$12)*('CPI USA'!$B$80/'CPI USA'!$B$74)</f>
        <v>16.103819204352941</v>
      </c>
      <c r="F89">
        <v>23.22</v>
      </c>
      <c r="G89">
        <f t="shared" si="1"/>
        <v>0.69353226547600955</v>
      </c>
    </row>
    <row r="90" spans="1:7">
      <c r="A90">
        <v>374</v>
      </c>
      <c r="B90">
        <v>0.1</v>
      </c>
      <c r="C90">
        <v>1.6198453594558044</v>
      </c>
      <c r="D90" t="s">
        <v>1516</v>
      </c>
      <c r="E90">
        <f>C90*('CPI USA'!$E$12)*('CPI USA'!$B$80/'CPI USA'!$B$74)</f>
        <v>2.2761581914279776</v>
      </c>
      <c r="F90">
        <v>23.22</v>
      </c>
      <c r="G90">
        <f t="shared" si="1"/>
        <v>9.802576190473633E-2</v>
      </c>
    </row>
    <row r="91" spans="1:7">
      <c r="A91">
        <v>374</v>
      </c>
      <c r="B91">
        <v>0.3</v>
      </c>
      <c r="C91">
        <v>4.0496133986395106</v>
      </c>
      <c r="D91" t="s">
        <v>1516</v>
      </c>
      <c r="E91">
        <f>C91*('CPI USA'!$E$12)*('CPI USA'!$B$80/'CPI USA'!$B$74)</f>
        <v>5.6903954785699442</v>
      </c>
      <c r="F91">
        <v>23.22</v>
      </c>
      <c r="G91">
        <f t="shared" si="1"/>
        <v>0.24506440476184085</v>
      </c>
    </row>
    <row r="92" spans="1:7">
      <c r="A92">
        <v>374</v>
      </c>
      <c r="B92">
        <v>0.1</v>
      </c>
      <c r="C92">
        <v>1.6198453594558044</v>
      </c>
      <c r="D92" t="s">
        <v>1516</v>
      </c>
      <c r="E92">
        <f>C92*('CPI USA'!$E$12)*('CPI USA'!$B$80/'CPI USA'!$B$74)</f>
        <v>2.2761581914279776</v>
      </c>
      <c r="F92">
        <v>23.22</v>
      </c>
      <c r="G92">
        <f t="shared" si="1"/>
        <v>9.802576190473633E-2</v>
      </c>
    </row>
    <row r="93" spans="1:7">
      <c r="A93">
        <v>374</v>
      </c>
      <c r="B93">
        <v>0.3</v>
      </c>
      <c r="C93">
        <v>4.0496133986395106</v>
      </c>
      <c r="D93" t="s">
        <v>1516</v>
      </c>
      <c r="E93">
        <f>C93*('CPI USA'!$E$12)*('CPI USA'!$B$80/'CPI USA'!$B$74)</f>
        <v>5.6903954785699442</v>
      </c>
      <c r="F93">
        <v>23.22</v>
      </c>
      <c r="G93">
        <f t="shared" si="1"/>
        <v>0.24506440476184085</v>
      </c>
    </row>
    <row r="94" spans="1:7">
      <c r="A94">
        <v>374</v>
      </c>
      <c r="B94">
        <v>0.1</v>
      </c>
      <c r="C94">
        <v>1.6198453594558044</v>
      </c>
      <c r="D94" t="s">
        <v>1516</v>
      </c>
      <c r="E94">
        <f>C94*('CPI USA'!$E$12)*('CPI USA'!$B$80/'CPI USA'!$B$74)</f>
        <v>2.2761581914279776</v>
      </c>
      <c r="F94">
        <v>23.22</v>
      </c>
      <c r="G94">
        <f t="shared" si="1"/>
        <v>9.802576190473633E-2</v>
      </c>
    </row>
    <row r="95" spans="1:7">
      <c r="A95">
        <v>374</v>
      </c>
      <c r="B95">
        <v>0.3</v>
      </c>
      <c r="C95">
        <v>4.0496133986395106</v>
      </c>
      <c r="D95" t="s">
        <v>1516</v>
      </c>
      <c r="E95">
        <f>C95*('CPI USA'!$E$12)*('CPI USA'!$B$80/'CPI USA'!$B$74)</f>
        <v>5.6903954785699442</v>
      </c>
      <c r="F95">
        <v>23.22</v>
      </c>
      <c r="G95">
        <f t="shared" si="1"/>
        <v>0.24506440476184085</v>
      </c>
    </row>
    <row r="96" spans="1:7">
      <c r="A96">
        <v>133</v>
      </c>
      <c r="B96">
        <v>0.05</v>
      </c>
      <c r="C96">
        <v>1.4953179009112811</v>
      </c>
      <c r="D96" t="s">
        <v>1507</v>
      </c>
      <c r="E96">
        <f>C96*('CPI USA'!$E$12)*('CPI USA'!$B$80/'CPI USA'!$B$74)</f>
        <v>2.1011759357643571</v>
      </c>
      <c r="F96">
        <v>23.22</v>
      </c>
      <c r="G96">
        <f t="shared" si="1"/>
        <v>9.0489919714227277E-2</v>
      </c>
    </row>
    <row r="97" spans="1:7">
      <c r="A97">
        <v>133</v>
      </c>
      <c r="B97">
        <v>0.1</v>
      </c>
      <c r="C97">
        <v>2.5099979051010792</v>
      </c>
      <c r="D97" t="s">
        <v>1507</v>
      </c>
      <c r="E97">
        <f>C97*('CPI USA'!$E$12)*('CPI USA'!$B$80/'CPI USA'!$B$74)</f>
        <v>3.526973892175886</v>
      </c>
      <c r="F97">
        <v>23.22</v>
      </c>
      <c r="G97">
        <f t="shared" si="1"/>
        <v>0.15189379380602439</v>
      </c>
    </row>
    <row r="98" spans="1:7">
      <c r="A98">
        <v>133</v>
      </c>
      <c r="B98">
        <v>0.15</v>
      </c>
      <c r="C98">
        <v>3.1401675919136904</v>
      </c>
      <c r="D98" t="s">
        <v>1507</v>
      </c>
      <c r="E98">
        <f>C98*('CPI USA'!$E$12)*('CPI USA'!$B$80/'CPI USA'!$B$74)</f>
        <v>4.4124694651051506</v>
      </c>
      <c r="F98">
        <v>23.22</v>
      </c>
      <c r="G98">
        <f t="shared" si="1"/>
        <v>0.19002883139987731</v>
      </c>
    </row>
    <row r="99" spans="1:7">
      <c r="A99">
        <v>133</v>
      </c>
      <c r="B99">
        <v>0.2</v>
      </c>
      <c r="C99">
        <v>3.5674012778883419</v>
      </c>
      <c r="D99" t="s">
        <v>1507</v>
      </c>
      <c r="E99">
        <f>C99*('CPI USA'!$E$12)*('CPI USA'!$B$80/'CPI USA'!$B$74)</f>
        <v>5.0128054467521102</v>
      </c>
      <c r="F99">
        <v>23.22</v>
      </c>
      <c r="G99">
        <f t="shared" si="1"/>
        <v>0.21588309417537083</v>
      </c>
    </row>
    <row r="100" spans="1:7">
      <c r="A100">
        <v>133</v>
      </c>
      <c r="B100">
        <v>5.3999999999999999E-2</v>
      </c>
      <c r="C100">
        <v>3.0333591704200273</v>
      </c>
      <c r="D100" t="s">
        <v>1509</v>
      </c>
      <c r="E100">
        <f>C100*('CPI USA'!$E$12)*('CPI USA'!$B$80/'CPI USA'!$B$74)</f>
        <v>4.2623854696934105</v>
      </c>
      <c r="F100">
        <v>23.22</v>
      </c>
      <c r="G100">
        <f t="shared" si="1"/>
        <v>0.1835652657060039</v>
      </c>
    </row>
    <row r="101" spans="1:7">
      <c r="A101">
        <v>133</v>
      </c>
      <c r="B101">
        <v>7.4999999999999997E-2</v>
      </c>
      <c r="C101">
        <v>4.0694008589085584</v>
      </c>
      <c r="D101" t="s">
        <v>1509</v>
      </c>
      <c r="E101">
        <f>C101*('CPI USA'!$E$12)*('CPI USA'!$B$80/'CPI USA'!$B$74)</f>
        <v>5.7182002251872879</v>
      </c>
      <c r="F101">
        <v>23.22</v>
      </c>
      <c r="G101">
        <f t="shared" si="1"/>
        <v>0.24626185293657571</v>
      </c>
    </row>
    <row r="102" spans="1:7">
      <c r="A102">
        <v>133</v>
      </c>
      <c r="B102">
        <v>0.15</v>
      </c>
      <c r="C102">
        <v>2.4672745365036142</v>
      </c>
      <c r="D102" t="s">
        <v>1510</v>
      </c>
      <c r="E102">
        <f>C102*('CPI USA'!$E$12)*('CPI USA'!$B$80/'CPI USA'!$B$74)</f>
        <v>3.4669402940111897</v>
      </c>
      <c r="F102">
        <v>23.22</v>
      </c>
      <c r="G102">
        <f t="shared" si="1"/>
        <v>0.14930836752847501</v>
      </c>
    </row>
    <row r="103" spans="1:7">
      <c r="A103">
        <v>133</v>
      </c>
      <c r="B103">
        <v>0.2</v>
      </c>
      <c r="C103">
        <v>3.3003802241541846</v>
      </c>
      <c r="D103" t="s">
        <v>1510</v>
      </c>
      <c r="E103">
        <f>C103*('CPI USA'!$E$12)*('CPI USA'!$B$80/'CPI USA'!$B$74)</f>
        <v>4.6375954582227603</v>
      </c>
      <c r="F103">
        <v>23.22</v>
      </c>
      <c r="G103">
        <f t="shared" si="1"/>
        <v>0.19972417994068736</v>
      </c>
    </row>
    <row r="104" spans="1:7">
      <c r="A104">
        <v>133</v>
      </c>
      <c r="B104">
        <v>0.25</v>
      </c>
      <c r="C104">
        <v>3.6208054886351739</v>
      </c>
      <c r="D104" t="s">
        <v>1510</v>
      </c>
      <c r="E104">
        <f>C104*('CPI USA'!$E$12)*('CPI USA'!$B$80/'CPI USA'!$B$74)</f>
        <v>5.0878474444579807</v>
      </c>
      <c r="F104">
        <v>23.22</v>
      </c>
      <c r="G104">
        <f t="shared" si="1"/>
        <v>0.21911487702230753</v>
      </c>
    </row>
    <row r="105" spans="1:7">
      <c r="A105">
        <v>133</v>
      </c>
      <c r="B105">
        <v>0.02</v>
      </c>
      <c r="C105">
        <v>0.36314863307845402</v>
      </c>
      <c r="D105" t="s">
        <v>1508</v>
      </c>
      <c r="E105">
        <f>C105*('CPI USA'!$E$12)*('CPI USA'!$B$80/'CPI USA'!$B$74)</f>
        <v>0.51028558439991545</v>
      </c>
      <c r="F105">
        <v>23.22</v>
      </c>
      <c r="G105">
        <f t="shared" si="1"/>
        <v>2.1976123359169486E-2</v>
      </c>
    </row>
    <row r="106" spans="1:7">
      <c r="A106">
        <v>133</v>
      </c>
      <c r="B106">
        <v>0.105</v>
      </c>
      <c r="C106">
        <v>2.8945082224782657</v>
      </c>
      <c r="D106" t="s">
        <v>1511</v>
      </c>
      <c r="E106">
        <f>C106*('CPI USA'!$E$12)*('CPI USA'!$B$80/'CPI USA'!$B$74)</f>
        <v>4.0672762756581493</v>
      </c>
      <c r="F106">
        <v>23.22</v>
      </c>
      <c r="G106">
        <f t="shared" si="1"/>
        <v>0.17516263030396853</v>
      </c>
    </row>
    <row r="107" spans="1:7">
      <c r="A107">
        <v>133</v>
      </c>
      <c r="B107">
        <v>0.105</v>
      </c>
      <c r="C107">
        <v>2.5527212736985443</v>
      </c>
      <c r="D107" t="s">
        <v>1511</v>
      </c>
      <c r="E107">
        <f>C107*('CPI USA'!$E$12)*('CPI USA'!$B$80/'CPI USA'!$B$74)</f>
        <v>3.5870074903405818</v>
      </c>
      <c r="F107">
        <v>23.22</v>
      </c>
      <c r="G107">
        <f t="shared" si="1"/>
        <v>0.15447922008357373</v>
      </c>
    </row>
    <row r="108" spans="1:7">
      <c r="A108">
        <v>133</v>
      </c>
      <c r="B108">
        <v>0.28299999999999997</v>
      </c>
      <c r="C108">
        <v>2.1254875877238923</v>
      </c>
      <c r="D108" t="s">
        <v>1512</v>
      </c>
      <c r="E108">
        <f>C108*('CPI USA'!$E$12)*('CPI USA'!$B$80/'CPI USA'!$B$74)</f>
        <v>2.9866715086936222</v>
      </c>
      <c r="F108">
        <v>23.22</v>
      </c>
      <c r="G108">
        <f t="shared" si="1"/>
        <v>0.12862495730808021</v>
      </c>
    </row>
    <row r="109" spans="1:7">
      <c r="A109">
        <v>133</v>
      </c>
      <c r="B109">
        <v>0.28299999999999997</v>
      </c>
      <c r="C109">
        <v>1.1535309521315598</v>
      </c>
      <c r="D109" t="s">
        <v>1512</v>
      </c>
      <c r="E109">
        <f>C109*('CPI USA'!$E$12)*('CPI USA'!$B$80/'CPI USA'!$B$74)</f>
        <v>1.6209071504467902</v>
      </c>
      <c r="F109">
        <v>23.22</v>
      </c>
      <c r="G109">
        <f t="shared" si="1"/>
        <v>6.9806509493832491E-2</v>
      </c>
    </row>
    <row r="110" spans="1:7">
      <c r="A110">
        <v>133</v>
      </c>
      <c r="B110">
        <v>0.112</v>
      </c>
      <c r="C110">
        <v>0.51268042316958207</v>
      </c>
      <c r="D110" t="s">
        <v>1513</v>
      </c>
      <c r="E110">
        <f>C110*('CPI USA'!$E$12)*('CPI USA'!$B$80/'CPI USA'!$B$74)</f>
        <v>0.72040317797635112</v>
      </c>
      <c r="F110">
        <v>23.22</v>
      </c>
      <c r="G110">
        <f t="shared" si="1"/>
        <v>3.1025115330592212E-2</v>
      </c>
    </row>
    <row r="111" spans="1:7">
      <c r="A111">
        <v>133</v>
      </c>
      <c r="B111">
        <v>0.224</v>
      </c>
      <c r="C111">
        <v>0.89719074054676873</v>
      </c>
      <c r="D111" t="s">
        <v>1513</v>
      </c>
      <c r="E111">
        <f>C111*('CPI USA'!$E$12)*('CPI USA'!$B$80/'CPI USA'!$B$74)</f>
        <v>1.2607055614586145</v>
      </c>
      <c r="F111">
        <v>23.22</v>
      </c>
      <c r="G111">
        <f t="shared" si="1"/>
        <v>5.4293951828536371E-2</v>
      </c>
    </row>
    <row r="112" spans="1:7">
      <c r="A112">
        <v>133</v>
      </c>
      <c r="B112">
        <v>9.7000000000000003E-2</v>
      </c>
      <c r="C112">
        <v>0.41655284382528551</v>
      </c>
      <c r="D112" t="s">
        <v>1514</v>
      </c>
      <c r="E112">
        <f>C112*('CPI USA'!$E$12)*('CPI USA'!$B$80/'CPI USA'!$B$74)</f>
        <v>0.58532758210578539</v>
      </c>
      <c r="F112">
        <v>23.22</v>
      </c>
      <c r="G112">
        <f t="shared" si="1"/>
        <v>2.5207906206106176E-2</v>
      </c>
    </row>
    <row r="113" spans="1:7">
      <c r="A113">
        <v>133</v>
      </c>
      <c r="B113">
        <v>0.19600000000000001</v>
      </c>
      <c r="C113">
        <v>0.34178694877972143</v>
      </c>
      <c r="D113" t="s">
        <v>1514</v>
      </c>
      <c r="E113">
        <f>C113*('CPI USA'!$E$12)*('CPI USA'!$B$80/'CPI USA'!$B$74)</f>
        <v>0.4802687853175675</v>
      </c>
      <c r="F113">
        <v>23.22</v>
      </c>
      <c r="G113">
        <f t="shared" si="1"/>
        <v>2.0683410220394813E-2</v>
      </c>
    </row>
    <row r="114" spans="1:7">
      <c r="A114">
        <v>133</v>
      </c>
      <c r="B114">
        <v>9.7000000000000003E-2</v>
      </c>
      <c r="C114">
        <v>0.59812716036451252</v>
      </c>
      <c r="D114" t="s">
        <v>1515</v>
      </c>
      <c r="E114">
        <f>C114*('CPI USA'!$E$12)*('CPI USA'!$B$80/'CPI USA'!$B$74)</f>
        <v>0.84047037430574301</v>
      </c>
      <c r="F114">
        <v>23.22</v>
      </c>
      <c r="G114">
        <f t="shared" si="1"/>
        <v>3.6195967885690912E-2</v>
      </c>
    </row>
    <row r="115" spans="1:7">
      <c r="A115">
        <v>133</v>
      </c>
      <c r="B115">
        <v>0.19600000000000001</v>
      </c>
      <c r="C115">
        <v>0.87582905624803609</v>
      </c>
      <c r="D115" t="s">
        <v>1515</v>
      </c>
      <c r="E115">
        <f>C115*('CPI USA'!$E$12)*('CPI USA'!$B$80/'CPI USA'!$B$74)</f>
        <v>1.2306887623762666</v>
      </c>
      <c r="F115">
        <v>23.22</v>
      </c>
      <c r="G115">
        <f t="shared" si="1"/>
        <v>5.3001238689761698E-2</v>
      </c>
    </row>
    <row r="116" spans="1:7">
      <c r="A116">
        <v>118</v>
      </c>
      <c r="B116">
        <v>0.35</v>
      </c>
      <c r="C116">
        <v>2.6428509719222459</v>
      </c>
      <c r="D116" t="s">
        <v>1511</v>
      </c>
      <c r="E116">
        <f>C116*('CPI USA'!$E$12)*('CPI USA'!$B$80/'CPI USA'!$B$74)</f>
        <v>3.7136550432722584</v>
      </c>
      <c r="F116">
        <v>23.22</v>
      </c>
      <c r="G116">
        <f t="shared" si="1"/>
        <v>0.15993346439587677</v>
      </c>
    </row>
    <row r="117" spans="1:7">
      <c r="A117">
        <v>118</v>
      </c>
      <c r="B117">
        <v>0.35</v>
      </c>
      <c r="C117">
        <v>6.3868898488120944</v>
      </c>
      <c r="D117" t="s">
        <v>1511</v>
      </c>
      <c r="E117">
        <f>C117*('CPI USA'!$E$12)*('CPI USA'!$B$80/'CPI USA'!$B$74)</f>
        <v>8.9746663545746248</v>
      </c>
      <c r="F117">
        <v>23.22</v>
      </c>
      <c r="G117">
        <f t="shared" si="1"/>
        <v>0.38650587229003552</v>
      </c>
    </row>
    <row r="118" spans="1:7">
      <c r="A118">
        <v>118</v>
      </c>
      <c r="B118">
        <v>0.19</v>
      </c>
      <c r="C118">
        <v>2.9732073434125272</v>
      </c>
      <c r="D118" t="s">
        <v>1507</v>
      </c>
      <c r="E118">
        <f>C118*('CPI USA'!$E$12)*('CPI USA'!$B$80/'CPI USA'!$B$74)</f>
        <v>4.1778619236812915</v>
      </c>
      <c r="F118">
        <v>23.22</v>
      </c>
      <c r="G118">
        <f t="shared" si="1"/>
        <v>0.17992514744536139</v>
      </c>
    </row>
    <row r="119" spans="1:7">
      <c r="A119">
        <v>118</v>
      </c>
      <c r="B119">
        <v>0.19</v>
      </c>
      <c r="C119">
        <v>5.2857019438444919</v>
      </c>
      <c r="D119" t="s">
        <v>1507</v>
      </c>
      <c r="E119">
        <f>C119*('CPI USA'!$E$12)*('CPI USA'!$B$80/'CPI USA'!$B$74)</f>
        <v>7.4273100865445167</v>
      </c>
      <c r="F119">
        <v>23.22</v>
      </c>
      <c r="G119">
        <f t="shared" si="1"/>
        <v>0.31986692879175355</v>
      </c>
    </row>
    <row r="120" spans="1:7">
      <c r="A120">
        <v>118</v>
      </c>
      <c r="B120">
        <v>0.25</v>
      </c>
      <c r="C120">
        <v>-0.11011879049676027</v>
      </c>
      <c r="D120" t="s">
        <v>1516</v>
      </c>
      <c r="E120">
        <f>C120*('CPI USA'!$E$12)*('CPI USA'!$B$80/'CPI USA'!$B$74)</f>
        <v>-0.15473562680301078</v>
      </c>
      <c r="F120">
        <v>23.22</v>
      </c>
      <c r="G120">
        <f t="shared" si="1"/>
        <v>-6.6638943498281995E-3</v>
      </c>
    </row>
    <row r="121" spans="1:7">
      <c r="A121">
        <v>118</v>
      </c>
      <c r="B121">
        <v>0.25</v>
      </c>
      <c r="C121">
        <v>0.22023758099352053</v>
      </c>
      <c r="D121" t="s">
        <v>1516</v>
      </c>
      <c r="E121">
        <f>C121*('CPI USA'!$E$12)*('CPI USA'!$B$80/'CPI USA'!$B$74)</f>
        <v>0.30947125360602157</v>
      </c>
      <c r="F121">
        <v>23.22</v>
      </c>
      <c r="G121">
        <f t="shared" si="1"/>
        <v>1.3327788699656399E-2</v>
      </c>
    </row>
    <row r="122" spans="1:7">
      <c r="A122">
        <v>118</v>
      </c>
      <c r="B122">
        <v>0.2</v>
      </c>
      <c r="C122">
        <v>3.7440388768898485</v>
      </c>
      <c r="D122" t="s">
        <v>1516</v>
      </c>
      <c r="E122">
        <f>C122*('CPI USA'!$E$12)*('CPI USA'!$B$80/'CPI USA'!$B$74)</f>
        <v>5.261011311302366</v>
      </c>
      <c r="F122">
        <v>23.22</v>
      </c>
      <c r="G122">
        <f t="shared" si="1"/>
        <v>0.22657240789415875</v>
      </c>
    </row>
    <row r="123" spans="1:7">
      <c r="A123">
        <v>118</v>
      </c>
      <c r="B123">
        <v>0.25</v>
      </c>
      <c r="C123">
        <v>0.55059395248380127</v>
      </c>
      <c r="D123" t="s">
        <v>1516</v>
      </c>
      <c r="E123">
        <f>C123*('CPI USA'!$E$12)*('CPI USA'!$B$80/'CPI USA'!$B$74)</f>
        <v>0.77367813401505392</v>
      </c>
      <c r="F123">
        <v>23.22</v>
      </c>
      <c r="G123">
        <f t="shared" si="1"/>
        <v>3.3319471749140996E-2</v>
      </c>
    </row>
    <row r="124" spans="1:7">
      <c r="A124">
        <v>118</v>
      </c>
      <c r="B124">
        <v>0.2</v>
      </c>
      <c r="C124">
        <v>1.1011879049676025</v>
      </c>
      <c r="D124" t="s">
        <v>1236</v>
      </c>
      <c r="E124">
        <f>C124*('CPI USA'!$E$12)*('CPI USA'!$B$80/'CPI USA'!$B$74)</f>
        <v>1.5473562680301078</v>
      </c>
      <c r="F124">
        <v>23.22</v>
      </c>
      <c r="G124">
        <f t="shared" si="1"/>
        <v>6.6638943498281991E-2</v>
      </c>
    </row>
    <row r="125" spans="1:7">
      <c r="A125">
        <v>118</v>
      </c>
      <c r="B125">
        <v>0.2</v>
      </c>
      <c r="C125">
        <v>4.6249892008639311</v>
      </c>
      <c r="D125" t="s">
        <v>1236</v>
      </c>
      <c r="E125">
        <f>C125*('CPI USA'!$E$12)*('CPI USA'!$B$80/'CPI USA'!$B$74)</f>
        <v>6.4988963257264531</v>
      </c>
      <c r="F125">
        <v>23.22</v>
      </c>
      <c r="G125">
        <f t="shared" si="1"/>
        <v>0.27988356269278436</v>
      </c>
    </row>
    <row r="126" spans="1:7">
      <c r="A126">
        <v>118</v>
      </c>
      <c r="B126">
        <v>0.08</v>
      </c>
      <c r="C126">
        <v>2.422613390928726</v>
      </c>
      <c r="D126" t="s">
        <v>1236</v>
      </c>
      <c r="E126">
        <f>C126*('CPI USA'!$E$12)*('CPI USA'!$B$80/'CPI USA'!$B$74)</f>
        <v>3.4041837896662375</v>
      </c>
      <c r="F126">
        <v>23.22</v>
      </c>
      <c r="G126">
        <f t="shared" si="1"/>
        <v>0.14660567569622041</v>
      </c>
    </row>
    <row r="127" spans="1:7">
      <c r="A127">
        <v>278</v>
      </c>
      <c r="B127">
        <v>1.2500000000000001E-2</v>
      </c>
      <c r="C127">
        <v>0.22023758099352053</v>
      </c>
      <c r="D127" t="s">
        <v>1513</v>
      </c>
      <c r="E127">
        <f>C127*('CPI USA'!$E$12)*('CPI USA'!$B$80/'CPI USA'!$B$74)</f>
        <v>0.30947125360602157</v>
      </c>
      <c r="F127">
        <v>23.22</v>
      </c>
      <c r="G127">
        <f t="shared" si="1"/>
        <v>1.3327788699656399E-2</v>
      </c>
    </row>
    <row r="128" spans="1:7">
      <c r="A128">
        <v>278</v>
      </c>
      <c r="B128">
        <v>2.5000000000000001E-2</v>
      </c>
      <c r="C128">
        <v>0.35238012958963283</v>
      </c>
      <c r="D128" t="s">
        <v>1513</v>
      </c>
      <c r="E128">
        <f>C128*('CPI USA'!$E$12)*('CPI USA'!$B$80/'CPI USA'!$B$74)</f>
        <v>0.49515400576963453</v>
      </c>
      <c r="F128">
        <v>23.22</v>
      </c>
      <c r="G128">
        <f t="shared" si="1"/>
        <v>2.1324461919450238E-2</v>
      </c>
    </row>
    <row r="129" spans="1:7">
      <c r="A129">
        <v>278</v>
      </c>
      <c r="B129">
        <v>0.05</v>
      </c>
      <c r="C129">
        <v>0.61666522678185753</v>
      </c>
      <c r="D129" t="s">
        <v>1513</v>
      </c>
      <c r="E129">
        <f>C129*('CPI USA'!$E$12)*('CPI USA'!$B$80/'CPI USA'!$B$74)</f>
        <v>0.86651951009686057</v>
      </c>
      <c r="F129">
        <v>23.22</v>
      </c>
      <c r="G129">
        <f t="shared" si="1"/>
        <v>3.7317808359037925E-2</v>
      </c>
    </row>
    <row r="130" spans="1:7">
      <c r="A130">
        <v>278</v>
      </c>
      <c r="B130">
        <v>0.1</v>
      </c>
      <c r="C130">
        <v>1.1342235421166307</v>
      </c>
      <c r="D130" t="s">
        <v>1513</v>
      </c>
      <c r="E130">
        <f>C130*('CPI USA'!$E$12)*('CPI USA'!$B$80/'CPI USA'!$B$74)</f>
        <v>1.5937769560710111</v>
      </c>
      <c r="F130">
        <v>23.22</v>
      </c>
      <c r="G130">
        <f t="shared" si="1"/>
        <v>6.8638111803230456E-2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15"/>
  <sheetViews>
    <sheetView workbookViewId="0">
      <selection activeCell="I44" sqref="I44"/>
    </sheetView>
  </sheetViews>
  <sheetFormatPr baseColWidth="10" defaultColWidth="8.83203125" defaultRowHeight="13"/>
  <cols>
    <col min="2" max="2" width="17.83203125" customWidth="1"/>
    <col min="3" max="3" width="13.1640625" customWidth="1"/>
  </cols>
  <sheetData>
    <row r="1" spans="1:5">
      <c r="A1" t="s">
        <v>1815</v>
      </c>
    </row>
    <row r="2" spans="1:5">
      <c r="A2" t="s">
        <v>1816</v>
      </c>
      <c r="B2" t="s">
        <v>1786</v>
      </c>
      <c r="C2" t="s">
        <v>1823</v>
      </c>
      <c r="D2" t="s">
        <v>1818</v>
      </c>
      <c r="E2" t="s">
        <v>1940</v>
      </c>
    </row>
    <row r="3" spans="1:5">
      <c r="A3">
        <v>50</v>
      </c>
      <c r="B3">
        <v>0.2</v>
      </c>
      <c r="C3">
        <v>0.92899906774379704</v>
      </c>
      <c r="D3" t="s">
        <v>1507</v>
      </c>
      <c r="E3">
        <f>C3*('CPI USA'!$E$12)*('CPI USA'!$B$80/'CPI USA'!$B$74)</f>
        <v>1.3054016703078326</v>
      </c>
    </row>
    <row r="4" spans="1:5">
      <c r="A4">
        <v>400</v>
      </c>
      <c r="B4">
        <v>0.02</v>
      </c>
      <c r="C4">
        <v>6.1507992359505383</v>
      </c>
      <c r="D4" t="s">
        <v>1522</v>
      </c>
      <c r="E4">
        <f>C4*('CPI USA'!$E$12)*('CPI USA'!$B$80/'CPI USA'!$B$74)</f>
        <v>8.642918895320479</v>
      </c>
    </row>
    <row r="5" spans="1:5">
      <c r="A5">
        <v>400</v>
      </c>
      <c r="B5">
        <v>0.04</v>
      </c>
      <c r="C5">
        <v>8.5086056097315783</v>
      </c>
      <c r="D5" t="s">
        <v>1522</v>
      </c>
      <c r="E5">
        <f>C5*('CPI USA'!$E$12)*('CPI USA'!$B$80/'CPI USA'!$B$74)</f>
        <v>11.956037805193331</v>
      </c>
    </row>
    <row r="6" spans="1:5">
      <c r="A6">
        <v>400</v>
      </c>
      <c r="B6">
        <v>0.06</v>
      </c>
      <c r="C6">
        <v>10.866411983512617</v>
      </c>
      <c r="D6" t="s">
        <v>1522</v>
      </c>
      <c r="E6">
        <f>C6*('CPI USA'!$E$12)*('CPI USA'!$B$80/'CPI USA'!$B$74)</f>
        <v>15.269156715066178</v>
      </c>
    </row>
    <row r="7" spans="1:5">
      <c r="A7">
        <v>400</v>
      </c>
      <c r="B7">
        <v>0.08</v>
      </c>
      <c r="C7">
        <v>11.99405851010355</v>
      </c>
      <c r="D7" t="s">
        <v>1522</v>
      </c>
      <c r="E7">
        <f>C7*('CPI USA'!$E$12)*('CPI USA'!$B$80/'CPI USA'!$B$74)</f>
        <v>16.853691845874934</v>
      </c>
    </row>
    <row r="8" spans="1:5">
      <c r="A8">
        <v>400</v>
      </c>
      <c r="B8">
        <v>0.1</v>
      </c>
      <c r="C8">
        <v>12.609138433698604</v>
      </c>
      <c r="D8" t="s">
        <v>1522</v>
      </c>
      <c r="E8">
        <f>C8*('CPI USA'!$E$12)*('CPI USA'!$B$80/'CPI USA'!$B$74)</f>
        <v>17.717983735406982</v>
      </c>
    </row>
    <row r="9" spans="1:5">
      <c r="A9">
        <v>400</v>
      </c>
      <c r="B9">
        <v>0.12</v>
      </c>
      <c r="C9">
        <v>13.121705036694483</v>
      </c>
      <c r="D9" t="s">
        <v>1522</v>
      </c>
      <c r="E9">
        <f>C9*('CPI USA'!$E$12)*('CPI USA'!$B$80/'CPI USA'!$B$74)</f>
        <v>18.438226976683691</v>
      </c>
    </row>
    <row r="10" spans="1:5">
      <c r="A10">
        <v>400</v>
      </c>
      <c r="B10">
        <v>0.14000000000000001</v>
      </c>
      <c r="C10">
        <v>13.531758319091184</v>
      </c>
      <c r="D10" t="s">
        <v>1522</v>
      </c>
      <c r="E10">
        <f>C10*('CPI USA'!$E$12)*('CPI USA'!$B$80/'CPI USA'!$B$74)</f>
        <v>19.014421569705053</v>
      </c>
    </row>
    <row r="11" spans="1:5">
      <c r="A11">
        <v>400</v>
      </c>
      <c r="B11">
        <v>0.16</v>
      </c>
      <c r="C11">
        <v>13.736784960289537</v>
      </c>
      <c r="D11" t="s">
        <v>1522</v>
      </c>
      <c r="E11">
        <f>C11*('CPI USA'!$E$12)*('CPI USA'!$B$80/'CPI USA'!$B$74)</f>
        <v>19.302518866215738</v>
      </c>
    </row>
    <row r="12" spans="1:5">
      <c r="A12">
        <v>400</v>
      </c>
      <c r="B12">
        <v>0.18</v>
      </c>
      <c r="C12">
        <v>13.941811601487887</v>
      </c>
      <c r="D12" t="s">
        <v>1522</v>
      </c>
      <c r="E12">
        <f>C12*('CPI USA'!$E$12)*('CPI USA'!$B$80/'CPI USA'!$B$74)</f>
        <v>19.59061616272642</v>
      </c>
    </row>
    <row r="13" spans="1:5">
      <c r="A13">
        <v>400</v>
      </c>
      <c r="B13">
        <v>0.02</v>
      </c>
      <c r="C13">
        <v>6.1507992359505383</v>
      </c>
      <c r="D13" t="s">
        <v>1522</v>
      </c>
      <c r="E13">
        <f>C13*('CPI USA'!$E$12)*('CPI USA'!$B$80/'CPI USA'!$B$74)</f>
        <v>8.642918895320479</v>
      </c>
    </row>
    <row r="14" spans="1:5">
      <c r="A14">
        <v>400</v>
      </c>
      <c r="B14">
        <v>0.04</v>
      </c>
      <c r="C14">
        <v>8.5086056097315783</v>
      </c>
      <c r="D14" t="s">
        <v>1522</v>
      </c>
      <c r="E14">
        <f>C14*('CPI USA'!$E$12)*('CPI USA'!$B$80/'CPI USA'!$B$74)</f>
        <v>11.956037805193331</v>
      </c>
    </row>
    <row r="15" spans="1:5">
      <c r="A15">
        <v>400</v>
      </c>
      <c r="B15">
        <v>0.06</v>
      </c>
      <c r="C15">
        <v>10.558872021715091</v>
      </c>
      <c r="D15" t="s">
        <v>1522</v>
      </c>
      <c r="E15">
        <f>C15*('CPI USA'!$E$12)*('CPI USA'!$B$80/'CPI USA'!$B$74)</f>
        <v>14.837010770300157</v>
      </c>
    </row>
    <row r="16" spans="1:5">
      <c r="A16">
        <v>400</v>
      </c>
      <c r="B16">
        <v>0.08</v>
      </c>
      <c r="C16">
        <v>10.558872021715091</v>
      </c>
      <c r="D16" t="s">
        <v>1522</v>
      </c>
      <c r="E16">
        <f>C16*('CPI USA'!$E$12)*('CPI USA'!$B$80/'CPI USA'!$B$74)</f>
        <v>14.837010770300157</v>
      </c>
    </row>
    <row r="17" spans="1:5">
      <c r="A17">
        <v>400</v>
      </c>
      <c r="B17">
        <v>0.1</v>
      </c>
      <c r="C17">
        <v>11.276465265909319</v>
      </c>
      <c r="D17" t="s">
        <v>1522</v>
      </c>
      <c r="E17">
        <f>C17*('CPI USA'!$E$12)*('CPI USA'!$B$80/'CPI USA'!$B$74)</f>
        <v>15.845351308087544</v>
      </c>
    </row>
    <row r="18" spans="1:5">
      <c r="A18">
        <v>400</v>
      </c>
      <c r="B18">
        <v>0.12</v>
      </c>
      <c r="C18">
        <v>11.686518548306024</v>
      </c>
      <c r="D18" t="s">
        <v>1522</v>
      </c>
      <c r="E18">
        <f>C18*('CPI USA'!$E$12)*('CPI USA'!$B$80/'CPI USA'!$B$74)</f>
        <v>16.421545901108914</v>
      </c>
    </row>
    <row r="19" spans="1:5">
      <c r="A19">
        <v>400</v>
      </c>
      <c r="B19">
        <v>0.14000000000000001</v>
      </c>
      <c r="C19">
        <v>12.096571830702727</v>
      </c>
      <c r="D19" t="s">
        <v>1522</v>
      </c>
      <c r="E19">
        <f>C19*('CPI USA'!$E$12)*('CPI USA'!$B$80/'CPI USA'!$B$74)</f>
        <v>16.997740494130277</v>
      </c>
    </row>
    <row r="20" spans="1:5">
      <c r="A20">
        <v>400</v>
      </c>
      <c r="B20">
        <v>0.16</v>
      </c>
      <c r="C20">
        <v>12.301598471901077</v>
      </c>
      <c r="D20" t="s">
        <v>1522</v>
      </c>
      <c r="E20">
        <f>C20*('CPI USA'!$E$12)*('CPI USA'!$B$80/'CPI USA'!$B$74)</f>
        <v>17.285837790640958</v>
      </c>
    </row>
    <row r="21" spans="1:5">
      <c r="A21">
        <v>400</v>
      </c>
      <c r="B21">
        <v>0.18</v>
      </c>
      <c r="C21">
        <v>12.506625113099426</v>
      </c>
      <c r="D21" t="s">
        <v>1522</v>
      </c>
      <c r="E21">
        <f>C21*('CPI USA'!$E$12)*('CPI USA'!$B$80/'CPI USA'!$B$74)</f>
        <v>17.573935087151639</v>
      </c>
    </row>
    <row r="22" spans="1:5">
      <c r="A22">
        <v>400</v>
      </c>
      <c r="B22">
        <v>0.02</v>
      </c>
      <c r="C22">
        <v>9.2261988539258084</v>
      </c>
      <c r="D22" t="s">
        <v>1523</v>
      </c>
      <c r="E22">
        <f>C22*('CPI USA'!$E$12)*('CPI USA'!$B$80/'CPI USA'!$B$74)</f>
        <v>12.964378342980719</v>
      </c>
    </row>
    <row r="23" spans="1:5">
      <c r="A23">
        <v>400</v>
      </c>
      <c r="B23">
        <v>0.04</v>
      </c>
      <c r="C23">
        <v>9.2261988539258084</v>
      </c>
      <c r="D23" t="s">
        <v>1523</v>
      </c>
      <c r="E23">
        <f>C23*('CPI USA'!$E$12)*('CPI USA'!$B$80/'CPI USA'!$B$74)</f>
        <v>12.964378342980719</v>
      </c>
    </row>
    <row r="24" spans="1:5">
      <c r="A24">
        <v>400</v>
      </c>
      <c r="B24">
        <v>0.06</v>
      </c>
      <c r="C24">
        <v>10.763898662913443</v>
      </c>
      <c r="D24" t="s">
        <v>1523</v>
      </c>
      <c r="E24">
        <f>C24*('CPI USA'!$E$12)*('CPI USA'!$B$80/'CPI USA'!$B$74)</f>
        <v>15.125108066810839</v>
      </c>
    </row>
    <row r="25" spans="1:5">
      <c r="A25">
        <v>400</v>
      </c>
      <c r="B25">
        <v>0.08</v>
      </c>
      <c r="C25">
        <v>11.584005227706848</v>
      </c>
      <c r="D25" t="s">
        <v>1523</v>
      </c>
      <c r="E25">
        <f>C25*('CPI USA'!$E$12)*('CPI USA'!$B$80/'CPI USA'!$B$74)</f>
        <v>16.277497252853571</v>
      </c>
    </row>
    <row r="26" spans="1:5">
      <c r="A26">
        <v>400</v>
      </c>
      <c r="B26">
        <v>0.1</v>
      </c>
      <c r="C26">
        <v>12.096571830702727</v>
      </c>
      <c r="D26" t="s">
        <v>1523</v>
      </c>
      <c r="E26">
        <f>C26*('CPI USA'!$E$12)*('CPI USA'!$B$80/'CPI USA'!$B$74)</f>
        <v>16.997740494130277</v>
      </c>
    </row>
    <row r="27" spans="1:5">
      <c r="A27">
        <v>400</v>
      </c>
      <c r="B27">
        <v>0.12</v>
      </c>
      <c r="C27">
        <v>12.404111792500252</v>
      </c>
      <c r="D27" t="s">
        <v>1523</v>
      </c>
      <c r="E27">
        <f>C27*('CPI USA'!$E$12)*('CPI USA'!$B$80/'CPI USA'!$B$74)</f>
        <v>17.4298864388963</v>
      </c>
    </row>
    <row r="28" spans="1:5">
      <c r="A28">
        <v>400</v>
      </c>
      <c r="B28">
        <v>0.14000000000000001</v>
      </c>
      <c r="C28">
        <v>12.71165175429778</v>
      </c>
      <c r="D28" t="s">
        <v>1523</v>
      </c>
      <c r="E28">
        <f>C28*('CPI USA'!$E$12)*('CPI USA'!$B$80/'CPI USA'!$B$74)</f>
        <v>17.862032383662324</v>
      </c>
    </row>
    <row r="29" spans="1:5">
      <c r="A29">
        <v>400</v>
      </c>
      <c r="B29">
        <v>0.16</v>
      </c>
      <c r="C29">
        <v>12.814165074896955</v>
      </c>
      <c r="D29" t="s">
        <v>1523</v>
      </c>
      <c r="E29">
        <f>C29*('CPI USA'!$E$12)*('CPI USA'!$B$80/'CPI USA'!$B$74)</f>
        <v>18.006081031917667</v>
      </c>
    </row>
    <row r="30" spans="1:5">
      <c r="A30">
        <v>400</v>
      </c>
      <c r="B30">
        <v>0.18</v>
      </c>
      <c r="C30">
        <v>13.019191716095305</v>
      </c>
      <c r="D30" t="s">
        <v>1523</v>
      </c>
      <c r="E30">
        <f>C30*('CPI USA'!$E$12)*('CPI USA'!$B$80/'CPI USA'!$B$74)</f>
        <v>18.294178328428345</v>
      </c>
    </row>
    <row r="31" spans="1:5">
      <c r="A31">
        <v>400</v>
      </c>
      <c r="B31">
        <v>0.02</v>
      </c>
      <c r="C31">
        <v>8.4060922891324008</v>
      </c>
      <c r="D31" t="s">
        <v>1523</v>
      </c>
      <c r="E31">
        <f>C31*('CPI USA'!$E$12)*('CPI USA'!$B$80/'CPI USA'!$B$74)</f>
        <v>11.811989156937987</v>
      </c>
    </row>
    <row r="32" spans="1:5">
      <c r="A32">
        <v>400</v>
      </c>
      <c r="B32">
        <v>0.04</v>
      </c>
      <c r="C32">
        <v>8.4060922891324008</v>
      </c>
      <c r="D32" t="s">
        <v>1523</v>
      </c>
      <c r="E32">
        <f>C32*('CPI USA'!$E$12)*('CPI USA'!$B$80/'CPI USA'!$B$74)</f>
        <v>11.811989156937987</v>
      </c>
    </row>
    <row r="33" spans="1:5">
      <c r="A33">
        <v>400</v>
      </c>
      <c r="B33">
        <v>0.06</v>
      </c>
      <c r="C33">
        <v>10.046305418719214</v>
      </c>
      <c r="D33" t="s">
        <v>1523</v>
      </c>
      <c r="E33">
        <f>C33*('CPI USA'!$E$12)*('CPI USA'!$B$80/'CPI USA'!$B$74)</f>
        <v>14.11676752902345</v>
      </c>
    </row>
    <row r="34" spans="1:5">
      <c r="A34">
        <v>400</v>
      </c>
      <c r="B34">
        <v>0.08</v>
      </c>
      <c r="C34">
        <v>10.046305418719214</v>
      </c>
      <c r="D34" t="s">
        <v>1523</v>
      </c>
      <c r="E34">
        <f>C34*('CPI USA'!$E$12)*('CPI USA'!$B$80/'CPI USA'!$B$74)</f>
        <v>14.11676752902345</v>
      </c>
    </row>
    <row r="35" spans="1:5">
      <c r="A35">
        <v>400</v>
      </c>
      <c r="B35">
        <v>0.1</v>
      </c>
      <c r="C35">
        <v>10.046305418719214</v>
      </c>
      <c r="D35" t="s">
        <v>1523</v>
      </c>
      <c r="E35">
        <f>C35*('CPI USA'!$E$12)*('CPI USA'!$B$80/'CPI USA'!$B$74)</f>
        <v>14.11676752902345</v>
      </c>
    </row>
    <row r="36" spans="1:5">
      <c r="A36">
        <v>400</v>
      </c>
      <c r="B36">
        <v>0.12</v>
      </c>
      <c r="C36">
        <v>10.046305418719214</v>
      </c>
      <c r="D36" t="s">
        <v>1523</v>
      </c>
      <c r="E36">
        <f>C36*('CPI USA'!$E$12)*('CPI USA'!$B$80/'CPI USA'!$B$74)</f>
        <v>14.11676752902345</v>
      </c>
    </row>
    <row r="37" spans="1:5">
      <c r="A37">
        <v>400</v>
      </c>
      <c r="B37">
        <v>0.14000000000000001</v>
      </c>
      <c r="C37">
        <v>10.456358701115914</v>
      </c>
      <c r="D37" t="s">
        <v>1523</v>
      </c>
      <c r="E37">
        <f>C37*('CPI USA'!$E$12)*('CPI USA'!$B$80/'CPI USA'!$B$74)</f>
        <v>14.692962122044813</v>
      </c>
    </row>
    <row r="38" spans="1:5">
      <c r="A38">
        <v>400</v>
      </c>
      <c r="B38">
        <v>0.16</v>
      </c>
      <c r="C38">
        <v>10.866411983512617</v>
      </c>
      <c r="D38" t="s">
        <v>1523</v>
      </c>
      <c r="E38">
        <f>C38*('CPI USA'!$E$12)*('CPI USA'!$B$80/'CPI USA'!$B$74)</f>
        <v>15.269156715066178</v>
      </c>
    </row>
    <row r="39" spans="1:5">
      <c r="A39">
        <v>400</v>
      </c>
      <c r="B39">
        <v>0.18</v>
      </c>
      <c r="C39">
        <v>11.07143862471097</v>
      </c>
      <c r="D39" t="s">
        <v>1523</v>
      </c>
      <c r="E39">
        <f>C39*('CPI USA'!$E$12)*('CPI USA'!$B$80/'CPI USA'!$B$74)</f>
        <v>15.557254011576864</v>
      </c>
    </row>
    <row r="40" spans="1:5">
      <c r="A40">
        <v>400</v>
      </c>
      <c r="B40">
        <v>0.02</v>
      </c>
      <c r="C40">
        <v>10.866411983512617</v>
      </c>
      <c r="D40" t="s">
        <v>1524</v>
      </c>
      <c r="E40">
        <f>C40*('CPI USA'!$E$12)*('CPI USA'!$B$80/'CPI USA'!$B$74)</f>
        <v>15.269156715066178</v>
      </c>
    </row>
    <row r="41" spans="1:5">
      <c r="A41">
        <v>400</v>
      </c>
      <c r="B41">
        <v>0.04</v>
      </c>
      <c r="C41">
        <v>10.866411983512617</v>
      </c>
      <c r="D41" t="s">
        <v>1524</v>
      </c>
      <c r="E41">
        <f>C41*('CPI USA'!$E$12)*('CPI USA'!$B$80/'CPI USA'!$B$74)</f>
        <v>15.269156715066178</v>
      </c>
    </row>
    <row r="42" spans="1:5">
      <c r="A42">
        <v>400</v>
      </c>
      <c r="B42">
        <v>0.06</v>
      </c>
      <c r="C42">
        <v>10.866411983512617</v>
      </c>
      <c r="D42" t="s">
        <v>1524</v>
      </c>
      <c r="E42">
        <f>C42*('CPI USA'!$E$12)*('CPI USA'!$B$80/'CPI USA'!$B$74)</f>
        <v>15.269156715066178</v>
      </c>
    </row>
    <row r="43" spans="1:5">
      <c r="A43">
        <v>400</v>
      </c>
      <c r="B43">
        <v>0.08</v>
      </c>
      <c r="C43">
        <v>11.789031868905198</v>
      </c>
      <c r="D43" t="s">
        <v>1524</v>
      </c>
      <c r="E43">
        <f>C43*('CPI USA'!$E$12)*('CPI USA'!$B$80/'CPI USA'!$B$74)</f>
        <v>16.565594549364249</v>
      </c>
    </row>
    <row r="44" spans="1:5">
      <c r="A44">
        <v>400</v>
      </c>
      <c r="B44">
        <v>0.1</v>
      </c>
      <c r="C44">
        <v>12.404111792500252</v>
      </c>
      <c r="D44" t="s">
        <v>1524</v>
      </c>
      <c r="E44">
        <f>C44*('CPI USA'!$E$12)*('CPI USA'!$B$80/'CPI USA'!$B$74)</f>
        <v>17.4298864388963</v>
      </c>
    </row>
    <row r="45" spans="1:5">
      <c r="A45">
        <v>400</v>
      </c>
      <c r="B45">
        <v>0.12</v>
      </c>
      <c r="C45">
        <v>12.71165175429778</v>
      </c>
      <c r="D45" t="s">
        <v>1524</v>
      </c>
      <c r="E45">
        <f>C45*('CPI USA'!$E$12)*('CPI USA'!$B$80/'CPI USA'!$B$74)</f>
        <v>17.862032383662324</v>
      </c>
    </row>
    <row r="46" spans="1:5">
      <c r="A46">
        <v>400</v>
      </c>
      <c r="B46">
        <v>0.14000000000000001</v>
      </c>
      <c r="C46">
        <v>13.019191716095305</v>
      </c>
      <c r="D46" t="s">
        <v>1524</v>
      </c>
      <c r="E46">
        <f>C46*('CPI USA'!$E$12)*('CPI USA'!$B$80/'CPI USA'!$B$74)</f>
        <v>18.294178328428345</v>
      </c>
    </row>
    <row r="47" spans="1:5">
      <c r="A47">
        <v>400</v>
      </c>
      <c r="B47">
        <v>0.16</v>
      </c>
      <c r="C47">
        <v>13.224218357293658</v>
      </c>
      <c r="D47" t="s">
        <v>1524</v>
      </c>
      <c r="E47">
        <f>C47*('CPI USA'!$E$12)*('CPI USA'!$B$80/'CPI USA'!$B$74)</f>
        <v>18.58227562493903</v>
      </c>
    </row>
    <row r="48" spans="1:5">
      <c r="A48">
        <v>400</v>
      </c>
      <c r="B48">
        <v>0.18</v>
      </c>
      <c r="C48">
        <v>13.429244998492008</v>
      </c>
      <c r="D48" t="s">
        <v>1524</v>
      </c>
      <c r="E48">
        <f>C48*('CPI USA'!$E$12)*('CPI USA'!$B$80/'CPI USA'!$B$74)</f>
        <v>18.870372921449711</v>
      </c>
    </row>
    <row r="49" spans="1:5">
      <c r="A49">
        <v>400</v>
      </c>
      <c r="B49">
        <v>0.02</v>
      </c>
      <c r="C49">
        <v>10.046305418719214</v>
      </c>
      <c r="D49" t="s">
        <v>1524</v>
      </c>
      <c r="E49">
        <f>C49*('CPI USA'!$E$12)*('CPI USA'!$B$80/'CPI USA'!$B$74)</f>
        <v>14.11676752902345</v>
      </c>
    </row>
    <row r="50" spans="1:5">
      <c r="A50">
        <v>400</v>
      </c>
      <c r="B50">
        <v>0.04</v>
      </c>
      <c r="C50">
        <v>10.046305418719214</v>
      </c>
      <c r="D50" t="s">
        <v>1524</v>
      </c>
      <c r="E50">
        <f>C50*('CPI USA'!$E$12)*('CPI USA'!$B$80/'CPI USA'!$B$74)</f>
        <v>14.11676752902345</v>
      </c>
    </row>
    <row r="51" spans="1:5">
      <c r="A51">
        <v>400</v>
      </c>
      <c r="B51">
        <v>0.06</v>
      </c>
      <c r="C51">
        <v>10.046305418719214</v>
      </c>
      <c r="D51" t="s">
        <v>1524</v>
      </c>
      <c r="E51">
        <f>C51*('CPI USA'!$E$12)*('CPI USA'!$B$80/'CPI USA'!$B$74)</f>
        <v>14.11676752902345</v>
      </c>
    </row>
    <row r="52" spans="1:5">
      <c r="A52">
        <v>400</v>
      </c>
      <c r="B52">
        <v>0.08</v>
      </c>
      <c r="C52">
        <v>11.07143862471097</v>
      </c>
      <c r="D52" t="s">
        <v>1524</v>
      </c>
      <c r="E52">
        <f>C52*('CPI USA'!$E$12)*('CPI USA'!$B$80/'CPI USA'!$B$74)</f>
        <v>15.557254011576864</v>
      </c>
    </row>
    <row r="53" spans="1:5">
      <c r="A53">
        <v>400</v>
      </c>
      <c r="B53">
        <v>0.1</v>
      </c>
      <c r="C53">
        <v>11.07143862471097</v>
      </c>
      <c r="D53" t="s">
        <v>1524</v>
      </c>
      <c r="E53">
        <f>C53*('CPI USA'!$E$12)*('CPI USA'!$B$80/'CPI USA'!$B$74)</f>
        <v>15.557254011576864</v>
      </c>
    </row>
    <row r="54" spans="1:5">
      <c r="A54">
        <v>400</v>
      </c>
      <c r="B54">
        <v>0.12</v>
      </c>
      <c r="C54">
        <v>11.07143862471097</v>
      </c>
      <c r="D54" t="s">
        <v>1524</v>
      </c>
      <c r="E54">
        <f>C54*('CPI USA'!$E$12)*('CPI USA'!$B$80/'CPI USA'!$B$74)</f>
        <v>15.557254011576864</v>
      </c>
    </row>
    <row r="55" spans="1:5">
      <c r="A55">
        <v>400</v>
      </c>
      <c r="B55">
        <v>0.14000000000000001</v>
      </c>
      <c r="C55">
        <v>11.07143862471097</v>
      </c>
      <c r="D55" t="s">
        <v>1524</v>
      </c>
      <c r="E55">
        <f>C55*('CPI USA'!$E$12)*('CPI USA'!$B$80/'CPI USA'!$B$74)</f>
        <v>15.557254011576864</v>
      </c>
    </row>
    <row r="56" spans="1:5">
      <c r="A56">
        <v>400</v>
      </c>
      <c r="B56">
        <v>0.16</v>
      </c>
      <c r="C56">
        <v>11.07143862471097</v>
      </c>
      <c r="D56" t="s">
        <v>1524</v>
      </c>
      <c r="E56">
        <f>C56*('CPI USA'!$E$12)*('CPI USA'!$B$80/'CPI USA'!$B$74)</f>
        <v>15.557254011576864</v>
      </c>
    </row>
    <row r="57" spans="1:5">
      <c r="A57">
        <v>400</v>
      </c>
      <c r="B57">
        <v>0.18</v>
      </c>
      <c r="C57">
        <v>11.378978586508495</v>
      </c>
      <c r="D57" t="s">
        <v>1524</v>
      </c>
      <c r="E57">
        <f>C57*('CPI USA'!$E$12)*('CPI USA'!$B$80/'CPI USA'!$B$74)</f>
        <v>15.989399956342886</v>
      </c>
    </row>
    <row r="58" spans="1:5">
      <c r="A58">
        <v>400</v>
      </c>
      <c r="B58">
        <v>0.02</v>
      </c>
      <c r="C58">
        <v>14.761918166281292</v>
      </c>
      <c r="D58" t="s">
        <v>1525</v>
      </c>
      <c r="E58">
        <f>C58*('CPI USA'!$E$12)*('CPI USA'!$B$80/'CPI USA'!$B$74)</f>
        <v>20.743005348769149</v>
      </c>
    </row>
    <row r="59" spans="1:5">
      <c r="A59">
        <v>400</v>
      </c>
      <c r="B59">
        <v>0.04</v>
      </c>
      <c r="C59">
        <v>14.761918166281292</v>
      </c>
      <c r="D59" t="s">
        <v>1525</v>
      </c>
      <c r="E59">
        <f>C59*('CPI USA'!$E$12)*('CPI USA'!$B$80/'CPI USA'!$B$74)</f>
        <v>20.743005348769149</v>
      </c>
    </row>
    <row r="60" spans="1:5">
      <c r="A60">
        <v>400</v>
      </c>
      <c r="B60">
        <v>0.06</v>
      </c>
      <c r="C60">
        <v>14.761918166281292</v>
      </c>
      <c r="D60" t="s">
        <v>1525</v>
      </c>
      <c r="E60">
        <f>C60*('CPI USA'!$E$12)*('CPI USA'!$B$80/'CPI USA'!$B$74)</f>
        <v>20.743005348769149</v>
      </c>
    </row>
    <row r="61" spans="1:5">
      <c r="A61">
        <v>400</v>
      </c>
      <c r="B61">
        <v>0.08</v>
      </c>
      <c r="C61">
        <v>14.761918166281292</v>
      </c>
      <c r="D61" t="s">
        <v>1525</v>
      </c>
      <c r="E61">
        <f>C61*('CPI USA'!$E$12)*('CPI USA'!$B$80/'CPI USA'!$B$74)</f>
        <v>20.743005348769149</v>
      </c>
    </row>
    <row r="62" spans="1:5">
      <c r="A62">
        <v>400</v>
      </c>
      <c r="B62">
        <v>0.1</v>
      </c>
      <c r="C62">
        <v>14.761918166281292</v>
      </c>
      <c r="D62" t="s">
        <v>1525</v>
      </c>
      <c r="E62">
        <f>C62*('CPI USA'!$E$12)*('CPI USA'!$B$80/'CPI USA'!$B$74)</f>
        <v>20.743005348769149</v>
      </c>
    </row>
    <row r="63" spans="1:5">
      <c r="A63">
        <v>400</v>
      </c>
      <c r="B63">
        <v>0.12</v>
      </c>
      <c r="C63">
        <v>14.761918166281292</v>
      </c>
      <c r="D63" t="s">
        <v>1525</v>
      </c>
      <c r="E63">
        <f>C63*('CPI USA'!$E$12)*('CPI USA'!$B$80/'CPI USA'!$B$74)</f>
        <v>20.743005348769149</v>
      </c>
    </row>
    <row r="64" spans="1:5">
      <c r="A64">
        <v>400</v>
      </c>
      <c r="B64">
        <v>0.14000000000000001</v>
      </c>
      <c r="C64">
        <v>14.761918166281292</v>
      </c>
      <c r="D64" t="s">
        <v>1525</v>
      </c>
      <c r="E64">
        <f>C64*('CPI USA'!$E$12)*('CPI USA'!$B$80/'CPI USA'!$B$74)</f>
        <v>20.743005348769149</v>
      </c>
    </row>
    <row r="65" spans="1:5">
      <c r="A65">
        <v>400</v>
      </c>
      <c r="B65">
        <v>0.16</v>
      </c>
      <c r="C65">
        <v>14.761918166281292</v>
      </c>
      <c r="D65" t="s">
        <v>1525</v>
      </c>
      <c r="E65">
        <f>C65*('CPI USA'!$E$12)*('CPI USA'!$B$80/'CPI USA'!$B$74)</f>
        <v>20.743005348769149</v>
      </c>
    </row>
    <row r="66" spans="1:5">
      <c r="A66">
        <v>400</v>
      </c>
      <c r="B66">
        <v>0.18</v>
      </c>
      <c r="C66">
        <v>14.761918166281292</v>
      </c>
      <c r="D66" t="s">
        <v>1525</v>
      </c>
      <c r="E66">
        <f>C66*('CPI USA'!$E$12)*('CPI USA'!$B$80/'CPI USA'!$B$74)</f>
        <v>20.743005348769149</v>
      </c>
    </row>
    <row r="67" spans="1:5">
      <c r="A67">
        <v>400</v>
      </c>
      <c r="B67">
        <v>0.02</v>
      </c>
      <c r="C67">
        <v>9.021172212727457</v>
      </c>
      <c r="D67" t="s">
        <v>1525</v>
      </c>
      <c r="E67">
        <f>C67*('CPI USA'!$E$12)*('CPI USA'!$B$80/'CPI USA'!$B$74)</f>
        <v>12.676281046470036</v>
      </c>
    </row>
    <row r="68" spans="1:5">
      <c r="A68">
        <v>400</v>
      </c>
      <c r="B68">
        <v>0.04</v>
      </c>
      <c r="C68">
        <v>9.021172212727457</v>
      </c>
      <c r="D68" t="s">
        <v>1525</v>
      </c>
      <c r="E68">
        <f>C68*('CPI USA'!$E$12)*('CPI USA'!$B$80/'CPI USA'!$B$74)</f>
        <v>12.676281046470036</v>
      </c>
    </row>
    <row r="69" spans="1:5">
      <c r="A69">
        <v>400</v>
      </c>
      <c r="B69">
        <v>0.06</v>
      </c>
      <c r="C69">
        <v>9.021172212727457</v>
      </c>
      <c r="D69" t="s">
        <v>1525</v>
      </c>
      <c r="E69">
        <f>C69*('CPI USA'!$E$12)*('CPI USA'!$B$80/'CPI USA'!$B$74)</f>
        <v>12.676281046470036</v>
      </c>
    </row>
    <row r="70" spans="1:5">
      <c r="A70">
        <v>400</v>
      </c>
      <c r="B70">
        <v>0.08</v>
      </c>
      <c r="C70">
        <v>9.021172212727457</v>
      </c>
      <c r="D70" t="s">
        <v>1525</v>
      </c>
      <c r="E70">
        <f>C70*('CPI USA'!$E$12)*('CPI USA'!$B$80/'CPI USA'!$B$74)</f>
        <v>12.676281046470036</v>
      </c>
    </row>
    <row r="71" spans="1:5">
      <c r="A71">
        <v>400</v>
      </c>
      <c r="B71">
        <v>0.1</v>
      </c>
      <c r="C71">
        <v>9.5337388157233356</v>
      </c>
      <c r="D71" t="s">
        <v>1525</v>
      </c>
      <c r="E71">
        <f>C71*('CPI USA'!$E$12)*('CPI USA'!$B$80/'CPI USA'!$B$74)</f>
        <v>13.396524287746743</v>
      </c>
    </row>
    <row r="72" spans="1:5">
      <c r="A72">
        <v>400</v>
      </c>
      <c r="B72">
        <v>0.12</v>
      </c>
      <c r="C72">
        <v>9.5337388157233356</v>
      </c>
      <c r="D72" t="s">
        <v>1525</v>
      </c>
      <c r="E72">
        <f>C72*('CPI USA'!$E$12)*('CPI USA'!$B$80/'CPI USA'!$B$74)</f>
        <v>13.396524287746743</v>
      </c>
    </row>
    <row r="73" spans="1:5">
      <c r="A73">
        <v>400</v>
      </c>
      <c r="B73">
        <v>0.14000000000000001</v>
      </c>
      <c r="C73">
        <v>9.5337388157233356</v>
      </c>
      <c r="D73" t="s">
        <v>1525</v>
      </c>
      <c r="E73">
        <f>C73*('CPI USA'!$E$12)*('CPI USA'!$B$80/'CPI USA'!$B$74)</f>
        <v>13.396524287746743</v>
      </c>
    </row>
    <row r="74" spans="1:5">
      <c r="A74">
        <v>400</v>
      </c>
      <c r="B74">
        <v>0.16</v>
      </c>
      <c r="C74">
        <v>9.9437920981200367</v>
      </c>
      <c r="D74" t="s">
        <v>1525</v>
      </c>
      <c r="E74">
        <f>C74*('CPI USA'!$E$12)*('CPI USA'!$B$80/'CPI USA'!$B$74)</f>
        <v>13.972718880768108</v>
      </c>
    </row>
    <row r="75" spans="1:5">
      <c r="A75">
        <v>400</v>
      </c>
      <c r="B75">
        <v>0.18</v>
      </c>
      <c r="C75">
        <v>10.251332059917564</v>
      </c>
      <c r="D75" t="s">
        <v>1525</v>
      </c>
      <c r="E75">
        <f>C75*('CPI USA'!$E$12)*('CPI USA'!$B$80/'CPI USA'!$B$74)</f>
        <v>14.404864825534132</v>
      </c>
    </row>
    <row r="76" spans="1:5">
      <c r="A76">
        <v>400</v>
      </c>
      <c r="B76">
        <v>0.02</v>
      </c>
      <c r="C76">
        <v>12.814165074896955</v>
      </c>
      <c r="D76" t="s">
        <v>1526</v>
      </c>
      <c r="E76">
        <f>C76*('CPI USA'!$E$12)*('CPI USA'!$B$80/'CPI USA'!$B$74)</f>
        <v>18.006081031917667</v>
      </c>
    </row>
    <row r="77" spans="1:5">
      <c r="A77">
        <v>400</v>
      </c>
      <c r="B77">
        <v>0.04</v>
      </c>
      <c r="C77">
        <v>12.814165074896955</v>
      </c>
      <c r="D77" t="s">
        <v>1526</v>
      </c>
      <c r="E77">
        <f>C77*('CPI USA'!$E$12)*('CPI USA'!$B$80/'CPI USA'!$B$74)</f>
        <v>18.006081031917667</v>
      </c>
    </row>
    <row r="78" spans="1:5">
      <c r="A78">
        <v>400</v>
      </c>
      <c r="B78">
        <v>0.06</v>
      </c>
      <c r="C78">
        <v>12.814165074896955</v>
      </c>
      <c r="D78" t="s">
        <v>1526</v>
      </c>
      <c r="E78">
        <f>C78*('CPI USA'!$E$12)*('CPI USA'!$B$80/'CPI USA'!$B$74)</f>
        <v>18.006081031917667</v>
      </c>
    </row>
    <row r="79" spans="1:5">
      <c r="A79">
        <v>400</v>
      </c>
      <c r="B79">
        <v>0.08</v>
      </c>
      <c r="C79">
        <v>12.814165074896955</v>
      </c>
      <c r="D79" t="s">
        <v>1526</v>
      </c>
      <c r="E79">
        <f>C79*('CPI USA'!$E$12)*('CPI USA'!$B$80/'CPI USA'!$B$74)</f>
        <v>18.006081031917667</v>
      </c>
    </row>
    <row r="80" spans="1:5">
      <c r="A80">
        <v>400</v>
      </c>
      <c r="B80">
        <v>0.1</v>
      </c>
      <c r="C80">
        <v>12.814165074896955</v>
      </c>
      <c r="D80" t="s">
        <v>1526</v>
      </c>
      <c r="E80">
        <f>C80*('CPI USA'!$E$12)*('CPI USA'!$B$80/'CPI USA'!$B$74)</f>
        <v>18.006081031917667</v>
      </c>
    </row>
    <row r="81" spans="1:5">
      <c r="A81">
        <v>400</v>
      </c>
      <c r="B81">
        <v>0.12</v>
      </c>
      <c r="C81">
        <v>13.121705036694483</v>
      </c>
      <c r="D81" t="s">
        <v>1526</v>
      </c>
      <c r="E81">
        <f>C81*('CPI USA'!$E$12)*('CPI USA'!$B$80/'CPI USA'!$B$74)</f>
        <v>18.438226976683691</v>
      </c>
    </row>
    <row r="82" spans="1:5">
      <c r="A82">
        <v>400</v>
      </c>
      <c r="B82">
        <v>0.14000000000000001</v>
      </c>
      <c r="C82">
        <v>13.224218357293658</v>
      </c>
      <c r="D82" t="s">
        <v>1526</v>
      </c>
      <c r="E82">
        <f>C82*('CPI USA'!$E$12)*('CPI USA'!$B$80/'CPI USA'!$B$74)</f>
        <v>18.58227562493903</v>
      </c>
    </row>
    <row r="83" spans="1:5">
      <c r="A83">
        <v>400</v>
      </c>
      <c r="B83">
        <v>0.16</v>
      </c>
      <c r="C83">
        <v>13.326731677892834</v>
      </c>
      <c r="D83" t="s">
        <v>1526</v>
      </c>
      <c r="E83">
        <f>C83*('CPI USA'!$E$12)*('CPI USA'!$B$80/'CPI USA'!$B$74)</f>
        <v>18.726324273194372</v>
      </c>
    </row>
    <row r="84" spans="1:5">
      <c r="A84">
        <v>400</v>
      </c>
      <c r="B84">
        <v>0.18</v>
      </c>
      <c r="C84">
        <v>13.326731677892834</v>
      </c>
      <c r="D84" t="s">
        <v>1526</v>
      </c>
      <c r="E84">
        <f>C84*('CPI USA'!$E$12)*('CPI USA'!$B$80/'CPI USA'!$B$74)</f>
        <v>18.726324273194372</v>
      </c>
    </row>
    <row r="85" spans="1:5">
      <c r="A85">
        <v>400</v>
      </c>
      <c r="B85">
        <v>0.02</v>
      </c>
      <c r="C85">
        <v>6.7658791595455918</v>
      </c>
      <c r="D85" t="s">
        <v>1526</v>
      </c>
      <c r="E85">
        <f>C85*('CPI USA'!$E$12)*('CPI USA'!$B$80/'CPI USA'!$B$74)</f>
        <v>9.5072107848525267</v>
      </c>
    </row>
    <row r="86" spans="1:5">
      <c r="A86">
        <v>400</v>
      </c>
      <c r="B86">
        <v>0.04</v>
      </c>
      <c r="C86">
        <v>6.7658791595455918</v>
      </c>
      <c r="D86" t="s">
        <v>1526</v>
      </c>
      <c r="E86">
        <f>C86*('CPI USA'!$E$12)*('CPI USA'!$B$80/'CPI USA'!$B$74)</f>
        <v>9.5072107848525267</v>
      </c>
    </row>
    <row r="87" spans="1:5">
      <c r="A87">
        <v>400</v>
      </c>
      <c r="B87">
        <v>0.06</v>
      </c>
      <c r="C87">
        <v>6.7658791595455918</v>
      </c>
      <c r="D87" t="s">
        <v>1526</v>
      </c>
      <c r="E87">
        <f>C87*('CPI USA'!$E$12)*('CPI USA'!$B$80/'CPI USA'!$B$74)</f>
        <v>9.5072107848525267</v>
      </c>
    </row>
    <row r="88" spans="1:5">
      <c r="A88">
        <v>400</v>
      </c>
      <c r="B88">
        <v>0.08</v>
      </c>
      <c r="C88">
        <v>8.3035789685332269</v>
      </c>
      <c r="D88" t="s">
        <v>1526</v>
      </c>
      <c r="E88">
        <f>C88*('CPI USA'!$E$12)*('CPI USA'!$B$80/'CPI USA'!$B$74)</f>
        <v>11.667940508682646</v>
      </c>
    </row>
    <row r="89" spans="1:5">
      <c r="A89">
        <v>400</v>
      </c>
      <c r="B89">
        <v>0.1</v>
      </c>
      <c r="C89">
        <v>8.3035789685332269</v>
      </c>
      <c r="D89" t="s">
        <v>1526</v>
      </c>
      <c r="E89">
        <f>C89*('CPI USA'!$E$12)*('CPI USA'!$B$80/'CPI USA'!$B$74)</f>
        <v>11.667940508682646</v>
      </c>
    </row>
    <row r="90" spans="1:5">
      <c r="A90">
        <v>400</v>
      </c>
      <c r="B90">
        <v>0.12</v>
      </c>
      <c r="C90">
        <v>8.3035789685332269</v>
      </c>
      <c r="D90" t="s">
        <v>1526</v>
      </c>
      <c r="E90">
        <f>C90*('CPI USA'!$E$12)*('CPI USA'!$B$80/'CPI USA'!$B$74)</f>
        <v>11.667940508682646</v>
      </c>
    </row>
    <row r="91" spans="1:5">
      <c r="A91">
        <v>400</v>
      </c>
      <c r="B91">
        <v>0.14000000000000001</v>
      </c>
      <c r="C91">
        <v>8.3035789685332269</v>
      </c>
      <c r="D91" t="s">
        <v>1526</v>
      </c>
      <c r="E91">
        <f>C91*('CPI USA'!$E$12)*('CPI USA'!$B$80/'CPI USA'!$B$74)</f>
        <v>11.667940508682646</v>
      </c>
    </row>
    <row r="92" spans="1:5">
      <c r="A92">
        <v>400</v>
      </c>
      <c r="B92">
        <v>0.16</v>
      </c>
      <c r="C92">
        <v>8.3035789685332269</v>
      </c>
      <c r="D92" t="s">
        <v>1526</v>
      </c>
      <c r="E92">
        <f>C92*('CPI USA'!$E$12)*('CPI USA'!$B$80/'CPI USA'!$B$74)</f>
        <v>11.667940508682646</v>
      </c>
    </row>
    <row r="93" spans="1:5">
      <c r="A93">
        <v>400</v>
      </c>
      <c r="B93">
        <v>0.18</v>
      </c>
      <c r="C93">
        <v>8.3035789685332269</v>
      </c>
      <c r="D93" t="s">
        <v>1526</v>
      </c>
      <c r="E93">
        <f>C93*('CPI USA'!$E$12)*('CPI USA'!$B$80/'CPI USA'!$B$74)</f>
        <v>11.667940508682646</v>
      </c>
    </row>
    <row r="94" spans="1:5">
      <c r="A94">
        <v>400</v>
      </c>
      <c r="B94">
        <v>0.02</v>
      </c>
      <c r="C94">
        <v>12.096571830702727</v>
      </c>
      <c r="D94" t="s">
        <v>1503</v>
      </c>
      <c r="E94">
        <f>C94*('CPI USA'!$E$12)*('CPI USA'!$B$80/'CPI USA'!$B$74)</f>
        <v>16.997740494130277</v>
      </c>
    </row>
    <row r="95" spans="1:5">
      <c r="A95">
        <v>400</v>
      </c>
      <c r="B95">
        <v>0.04</v>
      </c>
      <c r="C95">
        <v>12.096571830702727</v>
      </c>
      <c r="D95" t="s">
        <v>1503</v>
      </c>
      <c r="E95">
        <f>C95*('CPI USA'!$E$12)*('CPI USA'!$B$80/'CPI USA'!$B$74)</f>
        <v>16.997740494130277</v>
      </c>
    </row>
    <row r="96" spans="1:5">
      <c r="A96">
        <v>400</v>
      </c>
      <c r="B96">
        <v>0.06</v>
      </c>
      <c r="C96">
        <v>12.609138433698604</v>
      </c>
      <c r="D96" t="s">
        <v>1503</v>
      </c>
      <c r="E96">
        <f>C96*('CPI USA'!$E$12)*('CPI USA'!$B$80/'CPI USA'!$B$74)</f>
        <v>17.717983735406982</v>
      </c>
    </row>
    <row r="97" spans="1:5">
      <c r="A97">
        <v>400</v>
      </c>
      <c r="B97">
        <v>0.08</v>
      </c>
      <c r="C97">
        <v>12.71165175429778</v>
      </c>
      <c r="D97" t="s">
        <v>1503</v>
      </c>
      <c r="E97">
        <f>C97*('CPI USA'!$E$12)*('CPI USA'!$B$80/'CPI USA'!$B$74)</f>
        <v>17.862032383662324</v>
      </c>
    </row>
    <row r="98" spans="1:5">
      <c r="A98">
        <v>400</v>
      </c>
      <c r="B98">
        <v>0.1</v>
      </c>
      <c r="C98">
        <v>12.916678395496129</v>
      </c>
      <c r="D98" t="s">
        <v>1503</v>
      </c>
      <c r="E98">
        <f>C98*('CPI USA'!$E$12)*('CPI USA'!$B$80/'CPI USA'!$B$74)</f>
        <v>18.150129680173002</v>
      </c>
    </row>
    <row r="99" spans="1:5">
      <c r="A99">
        <v>400</v>
      </c>
      <c r="B99">
        <v>0.12</v>
      </c>
      <c r="C99">
        <v>13.019191716095305</v>
      </c>
      <c r="D99" t="s">
        <v>1503</v>
      </c>
      <c r="E99">
        <f>C99*('CPI USA'!$E$12)*('CPI USA'!$B$80/'CPI USA'!$B$74)</f>
        <v>18.294178328428345</v>
      </c>
    </row>
    <row r="100" spans="1:5">
      <c r="A100">
        <v>400</v>
      </c>
      <c r="B100">
        <v>0.14000000000000001</v>
      </c>
      <c r="C100">
        <v>13.121705036694483</v>
      </c>
      <c r="D100" t="s">
        <v>1503</v>
      </c>
      <c r="E100">
        <f>C100*('CPI USA'!$E$12)*('CPI USA'!$B$80/'CPI USA'!$B$74)</f>
        <v>18.438226976683691</v>
      </c>
    </row>
    <row r="101" spans="1:5">
      <c r="A101">
        <v>400</v>
      </c>
      <c r="B101">
        <v>0.16</v>
      </c>
      <c r="C101">
        <v>13.121705036694483</v>
      </c>
      <c r="D101" t="s">
        <v>1503</v>
      </c>
      <c r="E101">
        <f>C101*('CPI USA'!$E$12)*('CPI USA'!$B$80/'CPI USA'!$B$74)</f>
        <v>18.438226976683691</v>
      </c>
    </row>
    <row r="102" spans="1:5">
      <c r="A102">
        <v>400</v>
      </c>
      <c r="B102">
        <v>0.18</v>
      </c>
      <c r="C102">
        <v>13.121705036694483</v>
      </c>
      <c r="D102" t="s">
        <v>1503</v>
      </c>
      <c r="E102">
        <f>C102*('CPI USA'!$E$12)*('CPI USA'!$B$80/'CPI USA'!$B$74)</f>
        <v>18.438226976683691</v>
      </c>
    </row>
    <row r="103" spans="1:5">
      <c r="A103">
        <v>400</v>
      </c>
      <c r="B103">
        <v>0.02</v>
      </c>
      <c r="C103">
        <v>9.4312254951241581</v>
      </c>
      <c r="D103" t="s">
        <v>1503</v>
      </c>
      <c r="E103">
        <f>C103*('CPI USA'!$E$12)*('CPI USA'!$B$80/'CPI USA'!$B$74)</f>
        <v>13.252475639491399</v>
      </c>
    </row>
    <row r="104" spans="1:5">
      <c r="A104">
        <v>400</v>
      </c>
      <c r="B104">
        <v>0.04</v>
      </c>
      <c r="C104">
        <v>10.148818739318388</v>
      </c>
      <c r="D104" t="s">
        <v>1503</v>
      </c>
      <c r="E104">
        <f>C104*('CPI USA'!$E$12)*('CPI USA'!$B$80/'CPI USA'!$B$74)</f>
        <v>14.260816177278791</v>
      </c>
    </row>
    <row r="105" spans="1:5">
      <c r="A105">
        <v>400</v>
      </c>
      <c r="B105">
        <v>0.06</v>
      </c>
      <c r="C105">
        <v>10.148818739318388</v>
      </c>
      <c r="D105" t="s">
        <v>1503</v>
      </c>
      <c r="E105">
        <f>C105*('CPI USA'!$E$12)*('CPI USA'!$B$80/'CPI USA'!$B$74)</f>
        <v>14.260816177278791</v>
      </c>
    </row>
    <row r="106" spans="1:5">
      <c r="A106">
        <v>400</v>
      </c>
      <c r="B106">
        <v>0.08</v>
      </c>
      <c r="C106">
        <v>10.148818739318388</v>
      </c>
      <c r="D106" t="s">
        <v>1503</v>
      </c>
      <c r="E106">
        <f>C106*('CPI USA'!$E$12)*('CPI USA'!$B$80/'CPI USA'!$B$74)</f>
        <v>14.260816177278791</v>
      </c>
    </row>
    <row r="107" spans="1:5">
      <c r="A107">
        <v>400</v>
      </c>
      <c r="B107">
        <v>0.1</v>
      </c>
      <c r="C107">
        <v>10.148818739318388</v>
      </c>
      <c r="D107" t="s">
        <v>1503</v>
      </c>
      <c r="E107">
        <f>C107*('CPI USA'!$E$12)*('CPI USA'!$B$80/'CPI USA'!$B$74)</f>
        <v>14.260816177278791</v>
      </c>
    </row>
    <row r="108" spans="1:5">
      <c r="A108">
        <v>400</v>
      </c>
      <c r="B108">
        <v>0.12</v>
      </c>
      <c r="C108">
        <v>10.148818739318388</v>
      </c>
      <c r="D108" t="s">
        <v>1503</v>
      </c>
      <c r="E108">
        <f>C108*('CPI USA'!$E$12)*('CPI USA'!$B$80/'CPI USA'!$B$74)</f>
        <v>14.260816177278791</v>
      </c>
    </row>
    <row r="109" spans="1:5">
      <c r="A109">
        <v>400</v>
      </c>
      <c r="B109">
        <v>0.14000000000000001</v>
      </c>
      <c r="C109">
        <v>10.148818739318388</v>
      </c>
      <c r="D109" t="s">
        <v>1503</v>
      </c>
      <c r="E109">
        <f>C109*('CPI USA'!$E$12)*('CPI USA'!$B$80/'CPI USA'!$B$74)</f>
        <v>14.260816177278791</v>
      </c>
    </row>
    <row r="110" spans="1:5">
      <c r="A110">
        <v>400</v>
      </c>
      <c r="B110">
        <v>0.16</v>
      </c>
      <c r="C110">
        <v>10.148818739318388</v>
      </c>
      <c r="D110" t="s">
        <v>1503</v>
      </c>
      <c r="E110">
        <f>C110*('CPI USA'!$E$12)*('CPI USA'!$B$80/'CPI USA'!$B$74)</f>
        <v>14.260816177278791</v>
      </c>
    </row>
    <row r="111" spans="1:5">
      <c r="A111">
        <v>400</v>
      </c>
      <c r="B111">
        <v>0.18</v>
      </c>
      <c r="C111">
        <v>10.35384538051674</v>
      </c>
      <c r="D111" t="s">
        <v>1503</v>
      </c>
      <c r="E111">
        <f>C111*('CPI USA'!$E$12)*('CPI USA'!$B$80/'CPI USA'!$B$74)</f>
        <v>14.548913473789472</v>
      </c>
    </row>
    <row r="112" spans="1:5">
      <c r="A112">
        <v>400</v>
      </c>
      <c r="B112">
        <v>0.02</v>
      </c>
      <c r="C112">
        <v>14.864431486880468</v>
      </c>
      <c r="D112" t="s">
        <v>1527</v>
      </c>
      <c r="E112">
        <f>C112*('CPI USA'!$E$12)*('CPI USA'!$B$80/'CPI USA'!$B$74)</f>
        <v>20.887053997024491</v>
      </c>
    </row>
    <row r="113" spans="1:5">
      <c r="A113">
        <v>400</v>
      </c>
      <c r="B113">
        <v>0.04</v>
      </c>
      <c r="C113">
        <v>14.864431486880468</v>
      </c>
      <c r="D113" t="s">
        <v>1527</v>
      </c>
      <c r="E113">
        <f>C113*('CPI USA'!$E$12)*('CPI USA'!$B$80/'CPI USA'!$B$74)</f>
        <v>20.887053997024491</v>
      </c>
    </row>
    <row r="114" spans="1:5">
      <c r="A114">
        <v>400</v>
      </c>
      <c r="B114">
        <v>0.06</v>
      </c>
      <c r="C114">
        <v>14.864431486880468</v>
      </c>
      <c r="D114" t="s">
        <v>1527</v>
      </c>
      <c r="E114">
        <f>C114*('CPI USA'!$E$12)*('CPI USA'!$B$80/'CPI USA'!$B$74)</f>
        <v>20.887053997024491</v>
      </c>
    </row>
    <row r="115" spans="1:5">
      <c r="A115">
        <v>400</v>
      </c>
      <c r="B115">
        <v>0.08</v>
      </c>
      <c r="C115">
        <v>14.864431486880468</v>
      </c>
      <c r="D115" t="s">
        <v>1527</v>
      </c>
      <c r="E115">
        <f>C115*('CPI USA'!$E$12)*('CPI USA'!$B$80/'CPI USA'!$B$74)</f>
        <v>20.887053997024491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15"/>
  <sheetViews>
    <sheetView workbookViewId="0">
      <selection activeCell="U38" sqref="U38"/>
    </sheetView>
  </sheetViews>
  <sheetFormatPr baseColWidth="10" defaultColWidth="8.83203125" defaultRowHeight="13"/>
  <sheetData>
    <row r="1" spans="1:11">
      <c r="A1" t="s">
        <v>1842</v>
      </c>
    </row>
    <row r="2" spans="1:11">
      <c r="A2" t="s">
        <v>1816</v>
      </c>
      <c r="B2" t="s">
        <v>6</v>
      </c>
      <c r="C2" t="s">
        <v>1825</v>
      </c>
      <c r="D2" t="s">
        <v>1786</v>
      </c>
      <c r="E2" t="s">
        <v>1817</v>
      </c>
      <c r="F2" t="s">
        <v>1823</v>
      </c>
      <c r="G2" t="s">
        <v>1818</v>
      </c>
      <c r="H2" t="s">
        <v>1826</v>
      </c>
      <c r="K2" t="s">
        <v>1941</v>
      </c>
    </row>
    <row r="3" spans="1:11">
      <c r="A3" t="s">
        <v>1879</v>
      </c>
      <c r="B3">
        <v>2015</v>
      </c>
      <c r="C3" t="s">
        <v>1528</v>
      </c>
      <c r="D3">
        <v>0.36399999999999999</v>
      </c>
      <c r="E3">
        <v>6.4</v>
      </c>
      <c r="F3">
        <v>8.9942434560000013</v>
      </c>
      <c r="G3" t="s">
        <v>1507</v>
      </c>
      <c r="H3" t="s">
        <v>1827</v>
      </c>
      <c r="K3">
        <f>F3*('CPI USA'!$E$12)*('CPI USA'!$B$80/'CPI USA'!$B$74)</f>
        <v>12.638441563921678</v>
      </c>
    </row>
    <row r="4" spans="1:11">
      <c r="A4" t="s">
        <v>1879</v>
      </c>
      <c r="B4">
        <v>2015</v>
      </c>
      <c r="C4" t="s">
        <v>1528</v>
      </c>
      <c r="D4">
        <v>0.36299999999999999</v>
      </c>
      <c r="E4">
        <v>13.6</v>
      </c>
      <c r="F4">
        <v>19.112767344000002</v>
      </c>
      <c r="G4" t="s">
        <v>1507</v>
      </c>
      <c r="H4" t="s">
        <v>1827</v>
      </c>
      <c r="K4">
        <f>F4*('CPI USA'!$E$12)*('CPI USA'!$B$80/'CPI USA'!$B$74)</f>
        <v>26.856688323333561</v>
      </c>
    </row>
    <row r="5" spans="1:11">
      <c r="A5" t="s">
        <v>1879</v>
      </c>
      <c r="B5">
        <v>2015</v>
      </c>
      <c r="C5" t="s">
        <v>1528</v>
      </c>
      <c r="D5">
        <v>0.36099999999999999</v>
      </c>
      <c r="E5">
        <v>23</v>
      </c>
      <c r="F5">
        <v>32.323062420000007</v>
      </c>
      <c r="G5" t="s">
        <v>1507</v>
      </c>
      <c r="H5" t="s">
        <v>1827</v>
      </c>
      <c r="K5">
        <f>F5*('CPI USA'!$E$12)*('CPI USA'!$B$80/'CPI USA'!$B$74)</f>
        <v>45.419399370343527</v>
      </c>
    </row>
    <row r="6" spans="1:11">
      <c r="A6" t="s">
        <v>1879</v>
      </c>
      <c r="B6">
        <v>2015</v>
      </c>
      <c r="C6" t="s">
        <v>1528</v>
      </c>
      <c r="D6">
        <v>0.47</v>
      </c>
      <c r="E6">
        <v>36.9</v>
      </c>
      <c r="F6">
        <v>51.857434926000003</v>
      </c>
      <c r="G6" t="s">
        <v>1507</v>
      </c>
      <c r="H6" t="s">
        <v>1827</v>
      </c>
      <c r="K6">
        <f>F6*('CPI USA'!$E$12)*('CPI USA'!$B$80/'CPI USA'!$B$74)</f>
        <v>72.868514641985911</v>
      </c>
    </row>
    <row r="7" spans="1:11">
      <c r="A7" t="s">
        <v>1879</v>
      </c>
      <c r="B7">
        <v>2015</v>
      </c>
      <c r="C7" t="s">
        <v>1528</v>
      </c>
      <c r="D7">
        <v>0.48</v>
      </c>
      <c r="E7">
        <v>35.4</v>
      </c>
      <c r="F7">
        <v>49.749409116000002</v>
      </c>
      <c r="G7" t="s">
        <v>1507</v>
      </c>
      <c r="H7" t="s">
        <v>1827</v>
      </c>
      <c r="K7">
        <f>F7*('CPI USA'!$E$12)*('CPI USA'!$B$80/'CPI USA'!$B$74)</f>
        <v>69.906379900441763</v>
      </c>
    </row>
    <row r="8" spans="1:11">
      <c r="A8" t="s">
        <v>1879</v>
      </c>
      <c r="B8">
        <v>2015</v>
      </c>
      <c r="C8" t="s">
        <v>1528</v>
      </c>
      <c r="D8">
        <v>0.51200000000000001</v>
      </c>
      <c r="E8">
        <v>13.9</v>
      </c>
      <c r="F8">
        <v>19.534372506</v>
      </c>
      <c r="G8" t="s">
        <v>1507</v>
      </c>
      <c r="H8" t="s">
        <v>1827</v>
      </c>
      <c r="K8">
        <f>F8*('CPI USA'!$E$12)*('CPI USA'!$B$80/'CPI USA'!$B$74)</f>
        <v>27.449115271642391</v>
      </c>
    </row>
    <row r="9" spans="1:11">
      <c r="A9" t="s">
        <v>1879</v>
      </c>
      <c r="B9">
        <v>2015</v>
      </c>
      <c r="C9" t="s">
        <v>1528</v>
      </c>
      <c r="D9">
        <v>0.51800000000000002</v>
      </c>
      <c r="E9">
        <v>12.8</v>
      </c>
      <c r="F9">
        <v>17.988486912000003</v>
      </c>
      <c r="G9" t="s">
        <v>1507</v>
      </c>
      <c r="H9" t="s">
        <v>1827</v>
      </c>
      <c r="K9">
        <f>F9*('CPI USA'!$E$12)*('CPI USA'!$B$80/'CPI USA'!$B$74)</f>
        <v>25.276883127843355</v>
      </c>
    </row>
    <row r="10" spans="1:11">
      <c r="A10" t="s">
        <v>1879</v>
      </c>
      <c r="B10">
        <v>2015</v>
      </c>
      <c r="C10" t="s">
        <v>1528</v>
      </c>
      <c r="D10">
        <v>0.51300000000000001</v>
      </c>
      <c r="E10">
        <v>7.1</v>
      </c>
      <c r="F10">
        <v>9.9779888340000014</v>
      </c>
      <c r="G10" t="s">
        <v>1507</v>
      </c>
      <c r="H10" t="s">
        <v>1827</v>
      </c>
      <c r="K10">
        <f>F10*('CPI USA'!$E$12)*('CPI USA'!$B$80/'CPI USA'!$B$74)</f>
        <v>14.020771109975609</v>
      </c>
    </row>
    <row r="11" spans="1:11">
      <c r="A11" t="s">
        <v>1879</v>
      </c>
      <c r="B11">
        <v>2015</v>
      </c>
      <c r="C11" t="s">
        <v>1528</v>
      </c>
      <c r="D11">
        <v>0.51900000000000002</v>
      </c>
      <c r="E11">
        <v>8.1999999999999993</v>
      </c>
      <c r="F11">
        <v>11.523874428000001</v>
      </c>
      <c r="G11" t="s">
        <v>1507</v>
      </c>
      <c r="H11" t="s">
        <v>1827</v>
      </c>
      <c r="K11">
        <f>F11*('CPI USA'!$E$12)*('CPI USA'!$B$80/'CPI USA'!$B$74)</f>
        <v>16.193003253774648</v>
      </c>
    </row>
    <row r="12" spans="1:11">
      <c r="A12">
        <v>456</v>
      </c>
      <c r="B12">
        <v>2015</v>
      </c>
      <c r="C12" t="s">
        <v>1528</v>
      </c>
      <c r="D12">
        <v>0.26600000000000001</v>
      </c>
      <c r="E12">
        <v>10.6</v>
      </c>
      <c r="F12">
        <v>14.896715724000002</v>
      </c>
      <c r="G12" t="s">
        <v>1507</v>
      </c>
      <c r="H12" t="s">
        <v>1828</v>
      </c>
      <c r="K12">
        <f>F12*('CPI USA'!$E$12)*('CPI USA'!$B$80/'CPI USA'!$B$74)</f>
        <v>20.932418840245276</v>
      </c>
    </row>
    <row r="13" spans="1:11">
      <c r="A13">
        <v>456</v>
      </c>
      <c r="B13">
        <v>2015</v>
      </c>
      <c r="C13" t="s">
        <v>1528</v>
      </c>
      <c r="D13">
        <v>0.37</v>
      </c>
      <c r="E13">
        <v>31.8</v>
      </c>
      <c r="F13">
        <v>44.69014717200001</v>
      </c>
      <c r="G13" t="s">
        <v>1507</v>
      </c>
      <c r="H13" t="s">
        <v>1828</v>
      </c>
      <c r="K13">
        <f>F13*('CPI USA'!$E$12)*('CPI USA'!$B$80/'CPI USA'!$B$74)</f>
        <v>62.797256520735836</v>
      </c>
    </row>
    <row r="14" spans="1:11">
      <c r="A14">
        <v>456</v>
      </c>
      <c r="B14">
        <v>2015</v>
      </c>
      <c r="C14" t="s">
        <v>1528</v>
      </c>
      <c r="D14">
        <v>0.504</v>
      </c>
      <c r="E14">
        <v>48.4</v>
      </c>
      <c r="F14">
        <v>68.018966136000003</v>
      </c>
      <c r="G14" t="s">
        <v>1507</v>
      </c>
      <c r="H14" t="s">
        <v>1828</v>
      </c>
      <c r="K14">
        <f>F14*('CPI USA'!$E$12)*('CPI USA'!$B$80/'CPI USA'!$B$74)</f>
        <v>95.578214327157667</v>
      </c>
    </row>
    <row r="15" spans="1:11">
      <c r="A15">
        <v>456</v>
      </c>
      <c r="B15">
        <v>2015</v>
      </c>
      <c r="C15" t="s">
        <v>1528</v>
      </c>
      <c r="D15">
        <v>0.26600000000000001</v>
      </c>
      <c r="E15">
        <v>10.199999999999999</v>
      </c>
      <c r="F15">
        <v>14.334575508</v>
      </c>
      <c r="G15" t="s">
        <v>1507</v>
      </c>
      <c r="H15" t="s">
        <v>1829</v>
      </c>
      <c r="K15">
        <f>F15*('CPI USA'!$E$12)*('CPI USA'!$B$80/'CPI USA'!$B$74)</f>
        <v>20.142516242500172</v>
      </c>
    </row>
    <row r="16" spans="1:11">
      <c r="A16">
        <v>456</v>
      </c>
      <c r="B16">
        <v>2015</v>
      </c>
      <c r="C16" t="s">
        <v>1528</v>
      </c>
      <c r="D16">
        <v>0.37</v>
      </c>
      <c r="E16">
        <v>11</v>
      </c>
      <c r="F16">
        <v>15.458855940000003</v>
      </c>
      <c r="G16" t="s">
        <v>1507</v>
      </c>
      <c r="H16" t="s">
        <v>1829</v>
      </c>
      <c r="K16">
        <f>F16*('CPI USA'!$E$12)*('CPI USA'!$B$80/'CPI USA'!$B$74)</f>
        <v>21.722321437990384</v>
      </c>
    </row>
    <row r="17" spans="1:11">
      <c r="A17">
        <v>456</v>
      </c>
      <c r="B17">
        <v>2015</v>
      </c>
      <c r="C17" t="s">
        <v>1528</v>
      </c>
      <c r="D17">
        <v>0.47</v>
      </c>
      <c r="E17">
        <v>11.2</v>
      </c>
      <c r="F17">
        <v>15.739926048000001</v>
      </c>
      <c r="G17" t="s">
        <v>1507</v>
      </c>
      <c r="H17" t="s">
        <v>1829</v>
      </c>
      <c r="K17">
        <f>F17*('CPI USA'!$E$12)*('CPI USA'!$B$80/'CPI USA'!$B$74)</f>
        <v>22.117272736862933</v>
      </c>
    </row>
    <row r="18" spans="1:11">
      <c r="A18">
        <v>456</v>
      </c>
      <c r="B18">
        <v>2015</v>
      </c>
      <c r="C18" t="s">
        <v>1528</v>
      </c>
      <c r="D18">
        <v>0.26500000000000001</v>
      </c>
      <c r="E18">
        <v>6.6</v>
      </c>
      <c r="F18">
        <v>9.2753135640000011</v>
      </c>
      <c r="G18" t="s">
        <v>1507</v>
      </c>
      <c r="H18" t="s">
        <v>1830</v>
      </c>
      <c r="K18">
        <f>F18*('CPI USA'!$E$12)*('CPI USA'!$B$80/'CPI USA'!$B$74)</f>
        <v>13.033392862794228</v>
      </c>
    </row>
    <row r="19" spans="1:11">
      <c r="A19">
        <v>456</v>
      </c>
      <c r="B19">
        <v>2015</v>
      </c>
      <c r="C19" t="s">
        <v>1528</v>
      </c>
      <c r="D19">
        <v>0.27900000000000003</v>
      </c>
      <c r="E19">
        <v>7.4</v>
      </c>
      <c r="F19">
        <v>10.399593996000002</v>
      </c>
      <c r="G19" t="s">
        <v>1507</v>
      </c>
      <c r="H19" t="s">
        <v>1830</v>
      </c>
      <c r="K19">
        <f>F19*('CPI USA'!$E$12)*('CPI USA'!$B$80/'CPI USA'!$B$74)</f>
        <v>14.613198058284439</v>
      </c>
    </row>
    <row r="20" spans="1:11">
      <c r="A20">
        <v>456</v>
      </c>
      <c r="B20">
        <v>2015</v>
      </c>
      <c r="C20" t="s">
        <v>1528</v>
      </c>
      <c r="D20">
        <v>0.35499999999999998</v>
      </c>
      <c r="E20">
        <v>7.7</v>
      </c>
      <c r="F20">
        <v>10.821199158000001</v>
      </c>
      <c r="G20" t="s">
        <v>1507</v>
      </c>
      <c r="H20" t="s">
        <v>1830</v>
      </c>
      <c r="K20">
        <f>F20*('CPI USA'!$E$12)*('CPI USA'!$B$80/'CPI USA'!$B$74)</f>
        <v>15.205625006593266</v>
      </c>
    </row>
    <row r="21" spans="1:11">
      <c r="A21">
        <v>456</v>
      </c>
      <c r="B21">
        <v>2015</v>
      </c>
      <c r="C21" t="s">
        <v>1528</v>
      </c>
      <c r="D21">
        <v>0.37</v>
      </c>
      <c r="E21">
        <v>7.6</v>
      </c>
      <c r="F21">
        <v>10.680664104000002</v>
      </c>
      <c r="G21" t="s">
        <v>1507</v>
      </c>
      <c r="H21" t="s">
        <v>1830</v>
      </c>
      <c r="K21">
        <f>F21*('CPI USA'!$E$12)*('CPI USA'!$B$80/'CPI USA'!$B$74)</f>
        <v>15.008149357156991</v>
      </c>
    </row>
    <row r="22" spans="1:11">
      <c r="A22">
        <v>456</v>
      </c>
      <c r="B22">
        <v>2015</v>
      </c>
      <c r="C22" t="s">
        <v>1528</v>
      </c>
      <c r="D22">
        <v>0.41499999999999998</v>
      </c>
      <c r="E22">
        <v>6.5</v>
      </c>
      <c r="F22">
        <v>9.1347785100000021</v>
      </c>
      <c r="G22" t="s">
        <v>1507</v>
      </c>
      <c r="H22" t="s">
        <v>1830</v>
      </c>
      <c r="K22">
        <f>F22*('CPI USA'!$E$12)*('CPI USA'!$B$80/'CPI USA'!$B$74)</f>
        <v>12.835917213357954</v>
      </c>
    </row>
    <row r="23" spans="1:11">
      <c r="A23">
        <v>456</v>
      </c>
      <c r="B23">
        <v>2015</v>
      </c>
      <c r="C23" t="s">
        <v>1528</v>
      </c>
      <c r="D23">
        <v>0.46</v>
      </c>
      <c r="E23">
        <v>7.7</v>
      </c>
      <c r="F23">
        <v>10.821199158000001</v>
      </c>
      <c r="G23" t="s">
        <v>1507</v>
      </c>
      <c r="H23" t="s">
        <v>1830</v>
      </c>
      <c r="K23">
        <f>F23*('CPI USA'!$E$12)*('CPI USA'!$B$80/'CPI USA'!$B$74)</f>
        <v>15.205625006593266</v>
      </c>
    </row>
    <row r="24" spans="1:11">
      <c r="A24">
        <v>456</v>
      </c>
      <c r="B24">
        <v>2015</v>
      </c>
      <c r="C24" t="s">
        <v>1528</v>
      </c>
      <c r="D24">
        <v>0.46</v>
      </c>
      <c r="E24">
        <v>8.1999999999999993</v>
      </c>
      <c r="F24">
        <v>11.523874428000001</v>
      </c>
      <c r="G24" t="s">
        <v>1507</v>
      </c>
      <c r="H24" t="s">
        <v>1830</v>
      </c>
      <c r="K24">
        <f>F24*('CPI USA'!$E$12)*('CPI USA'!$B$80/'CPI USA'!$B$74)</f>
        <v>16.193003253774648</v>
      </c>
    </row>
    <row r="25" spans="1:11">
      <c r="A25">
        <v>456</v>
      </c>
      <c r="B25">
        <v>2015</v>
      </c>
      <c r="C25" t="s">
        <v>1528</v>
      </c>
      <c r="D25">
        <v>0.53800000000000003</v>
      </c>
      <c r="E25">
        <v>11.1</v>
      </c>
      <c r="F25">
        <v>15.599390994000002</v>
      </c>
      <c r="G25" t="s">
        <v>1507</v>
      </c>
      <c r="H25" t="s">
        <v>1830</v>
      </c>
      <c r="K25">
        <f>F25*('CPI USA'!$E$12)*('CPI USA'!$B$80/'CPI USA'!$B$74)</f>
        <v>21.919797087426659</v>
      </c>
    </row>
    <row r="26" spans="1:11">
      <c r="A26">
        <v>456</v>
      </c>
      <c r="B26">
        <v>2015</v>
      </c>
      <c r="C26" t="s">
        <v>1528</v>
      </c>
      <c r="D26">
        <v>0.53800000000000003</v>
      </c>
      <c r="E26">
        <v>11.4</v>
      </c>
      <c r="F26">
        <v>16.020996156000002</v>
      </c>
      <c r="G26" t="s">
        <v>1507</v>
      </c>
      <c r="H26" t="s">
        <v>1830</v>
      </c>
      <c r="K26">
        <f>F26*('CPI USA'!$E$12)*('CPI USA'!$B$80/'CPI USA'!$B$74)</f>
        <v>22.512224035735485</v>
      </c>
    </row>
    <row r="27" spans="1:11">
      <c r="A27">
        <v>456</v>
      </c>
      <c r="B27">
        <v>2015</v>
      </c>
      <c r="C27" t="s">
        <v>1528</v>
      </c>
      <c r="D27">
        <v>0.56000000000000005</v>
      </c>
      <c r="E27">
        <v>18.600000000000001</v>
      </c>
      <c r="F27">
        <v>26.139520044000005</v>
      </c>
      <c r="G27" t="s">
        <v>1507</v>
      </c>
      <c r="H27" t="s">
        <v>1830</v>
      </c>
      <c r="K27">
        <f>F27*('CPI USA'!$E$12)*('CPI USA'!$B$80/'CPI USA'!$B$74)</f>
        <v>36.730470795147376</v>
      </c>
    </row>
    <row r="28" spans="1:11">
      <c r="A28">
        <v>456</v>
      </c>
      <c r="B28">
        <v>2015</v>
      </c>
      <c r="C28" t="s">
        <v>1528</v>
      </c>
      <c r="D28">
        <v>0.60199999999999998</v>
      </c>
      <c r="E28">
        <v>17.600000000000001</v>
      </c>
      <c r="F28">
        <v>24.734169504000004</v>
      </c>
      <c r="G28" t="s">
        <v>1507</v>
      </c>
      <c r="H28" t="s">
        <v>1830</v>
      </c>
      <c r="K28">
        <f>F28*('CPI USA'!$E$12)*('CPI USA'!$B$80/'CPI USA'!$B$74)</f>
        <v>34.755714300784611</v>
      </c>
    </row>
    <row r="29" spans="1:11">
      <c r="A29">
        <v>456</v>
      </c>
      <c r="B29">
        <v>2015</v>
      </c>
      <c r="C29" t="s">
        <v>1528</v>
      </c>
      <c r="D29">
        <v>0.60199999999999998</v>
      </c>
      <c r="E29">
        <v>22.7</v>
      </c>
      <c r="F29">
        <v>31.901457258000004</v>
      </c>
      <c r="G29" t="s">
        <v>1507</v>
      </c>
      <c r="H29" t="s">
        <v>1830</v>
      </c>
      <c r="K29">
        <f>F29*('CPI USA'!$E$12)*('CPI USA'!$B$80/'CPI USA'!$B$74)</f>
        <v>44.826972422034693</v>
      </c>
    </row>
    <row r="30" spans="1:11">
      <c r="A30">
        <v>456</v>
      </c>
      <c r="B30">
        <v>2015</v>
      </c>
      <c r="C30" t="s">
        <v>1528</v>
      </c>
      <c r="D30">
        <v>0.45200000000000001</v>
      </c>
      <c r="E30">
        <v>5.5</v>
      </c>
      <c r="F30">
        <v>7.7294279700000015</v>
      </c>
      <c r="G30" t="s">
        <v>1507</v>
      </c>
      <c r="H30" t="s">
        <v>1831</v>
      </c>
      <c r="K30">
        <f>F30*('CPI USA'!$E$12)*('CPI USA'!$B$80/'CPI USA'!$B$74)</f>
        <v>10.861160718995192</v>
      </c>
    </row>
    <row r="31" spans="1:11">
      <c r="A31">
        <v>456</v>
      </c>
      <c r="B31">
        <v>2015</v>
      </c>
      <c r="C31" t="s">
        <v>1528</v>
      </c>
      <c r="D31">
        <v>0.45300000000000001</v>
      </c>
      <c r="E31">
        <v>5.6</v>
      </c>
      <c r="F31">
        <v>7.8699630240000005</v>
      </c>
      <c r="G31" t="s">
        <v>1507</v>
      </c>
      <c r="H31" t="s">
        <v>1831</v>
      </c>
      <c r="K31">
        <f>F31*('CPI USA'!$E$12)*('CPI USA'!$B$80/'CPI USA'!$B$74)</f>
        <v>11.058636368431467</v>
      </c>
    </row>
    <row r="32" spans="1:11">
      <c r="A32">
        <v>456</v>
      </c>
      <c r="B32">
        <v>2015</v>
      </c>
      <c r="C32" t="s">
        <v>1528</v>
      </c>
      <c r="D32">
        <v>0.52800000000000002</v>
      </c>
      <c r="E32">
        <v>6.7</v>
      </c>
      <c r="F32">
        <v>9.4158486180000018</v>
      </c>
      <c r="G32" t="s">
        <v>1507</v>
      </c>
      <c r="H32" t="s">
        <v>1831</v>
      </c>
      <c r="K32">
        <f>F32*('CPI USA'!$E$12)*('CPI USA'!$B$80/'CPI USA'!$B$74)</f>
        <v>13.230868512230506</v>
      </c>
    </row>
    <row r="33" spans="1:11">
      <c r="A33">
        <v>456</v>
      </c>
      <c r="B33">
        <v>2015</v>
      </c>
      <c r="C33" t="s">
        <v>1528</v>
      </c>
      <c r="D33">
        <v>0.53</v>
      </c>
      <c r="E33">
        <v>6.7</v>
      </c>
      <c r="F33">
        <v>9.4158486180000018</v>
      </c>
      <c r="G33" t="s">
        <v>1507</v>
      </c>
      <c r="H33" t="s">
        <v>1831</v>
      </c>
      <c r="K33">
        <f>F33*('CPI USA'!$E$12)*('CPI USA'!$B$80/'CPI USA'!$B$74)</f>
        <v>13.230868512230506</v>
      </c>
    </row>
    <row r="34" spans="1:11">
      <c r="A34">
        <v>456</v>
      </c>
      <c r="B34">
        <v>2015</v>
      </c>
      <c r="C34" t="s">
        <v>1528</v>
      </c>
      <c r="D34">
        <v>0.58899999999999997</v>
      </c>
      <c r="E34">
        <v>7.8</v>
      </c>
      <c r="F34">
        <v>10.961734212</v>
      </c>
      <c r="G34" t="s">
        <v>1507</v>
      </c>
      <c r="H34" t="s">
        <v>1831</v>
      </c>
      <c r="K34">
        <f>F34*('CPI USA'!$E$12)*('CPI USA'!$B$80/'CPI USA'!$B$74)</f>
        <v>15.403100656029542</v>
      </c>
    </row>
    <row r="35" spans="1:11">
      <c r="A35">
        <v>456</v>
      </c>
      <c r="B35">
        <v>2015</v>
      </c>
      <c r="C35" t="s">
        <v>1528</v>
      </c>
      <c r="D35">
        <v>0.58899999999999997</v>
      </c>
      <c r="E35">
        <v>7.4</v>
      </c>
      <c r="F35">
        <v>10.399593996000002</v>
      </c>
      <c r="G35" t="s">
        <v>1507</v>
      </c>
      <c r="H35" t="s">
        <v>1831</v>
      </c>
      <c r="K35">
        <f>F35*('CPI USA'!$E$12)*('CPI USA'!$B$80/'CPI USA'!$B$74)</f>
        <v>14.613198058284439</v>
      </c>
    </row>
    <row r="36" spans="1:11">
      <c r="A36" t="s">
        <v>1879</v>
      </c>
      <c r="B36">
        <v>2015</v>
      </c>
      <c r="C36" t="s">
        <v>1528</v>
      </c>
      <c r="D36">
        <v>0.36199999999999999</v>
      </c>
      <c r="E36">
        <v>23</v>
      </c>
      <c r="F36">
        <v>32.323062420000007</v>
      </c>
      <c r="G36" t="s">
        <v>1507</v>
      </c>
      <c r="H36" t="s">
        <v>1832</v>
      </c>
      <c r="K36">
        <f>F36*('CPI USA'!$E$12)*('CPI USA'!$B$80/'CPI USA'!$B$74)</f>
        <v>45.419399370343527</v>
      </c>
    </row>
    <row r="37" spans="1:11">
      <c r="A37" t="s">
        <v>1879</v>
      </c>
      <c r="B37">
        <v>2015</v>
      </c>
      <c r="C37" t="s">
        <v>1528</v>
      </c>
      <c r="D37">
        <v>0.36399999999999999</v>
      </c>
      <c r="E37">
        <v>13.5</v>
      </c>
      <c r="F37">
        <v>18.972232290000004</v>
      </c>
      <c r="G37" t="s">
        <v>1507</v>
      </c>
      <c r="H37" t="s">
        <v>1832</v>
      </c>
      <c r="K37">
        <f>F37*('CPI USA'!$E$12)*('CPI USA'!$B$80/'CPI USA'!$B$74)</f>
        <v>26.65921267389729</v>
      </c>
    </row>
    <row r="38" spans="1:11">
      <c r="A38" t="s">
        <v>1879</v>
      </c>
      <c r="B38">
        <v>2015</v>
      </c>
      <c r="C38" t="s">
        <v>1528</v>
      </c>
      <c r="D38">
        <v>0.36399999999999999</v>
      </c>
      <c r="E38">
        <v>6.3</v>
      </c>
      <c r="F38">
        <v>8.8537084020000005</v>
      </c>
      <c r="G38" t="s">
        <v>1507</v>
      </c>
      <c r="H38" t="s">
        <v>1832</v>
      </c>
      <c r="K38">
        <f>F38*('CPI USA'!$E$12)*('CPI USA'!$B$80/'CPI USA'!$B$74)</f>
        <v>12.4409659144854</v>
      </c>
    </row>
    <row r="39" spans="1:11">
      <c r="A39" t="s">
        <v>1879</v>
      </c>
      <c r="B39">
        <v>2015</v>
      </c>
      <c r="C39" t="s">
        <v>1528</v>
      </c>
      <c r="D39">
        <v>0.47099999999999997</v>
      </c>
      <c r="E39">
        <v>36.799999999999997</v>
      </c>
      <c r="F39">
        <v>51.716899871999999</v>
      </c>
      <c r="G39" t="s">
        <v>1507</v>
      </c>
      <c r="H39" t="s">
        <v>1832</v>
      </c>
      <c r="K39">
        <f>F39*('CPI USA'!$E$12)*('CPI USA'!$B$80/'CPI USA'!$B$74)</f>
        <v>72.67103899254964</v>
      </c>
    </row>
    <row r="40" spans="1:11">
      <c r="A40" t="s">
        <v>1879</v>
      </c>
      <c r="B40">
        <v>2015</v>
      </c>
      <c r="C40" t="s">
        <v>1528</v>
      </c>
      <c r="D40">
        <v>0.48</v>
      </c>
      <c r="E40">
        <v>35.4</v>
      </c>
      <c r="F40">
        <v>49.749409116000002</v>
      </c>
      <c r="G40" t="s">
        <v>1507</v>
      </c>
      <c r="H40" t="s">
        <v>1832</v>
      </c>
      <c r="K40">
        <f>F40*('CPI USA'!$E$12)*('CPI USA'!$B$80/'CPI USA'!$B$74)</f>
        <v>69.906379900441763</v>
      </c>
    </row>
    <row r="41" spans="1:11">
      <c r="A41" t="s">
        <v>1879</v>
      </c>
      <c r="B41">
        <v>2015</v>
      </c>
      <c r="C41" t="s">
        <v>1528</v>
      </c>
      <c r="D41">
        <v>0.51300000000000001</v>
      </c>
      <c r="E41">
        <v>13.8</v>
      </c>
      <c r="F41">
        <v>19.393837452000003</v>
      </c>
      <c r="G41" t="s">
        <v>1507</v>
      </c>
      <c r="H41" t="s">
        <v>1832</v>
      </c>
      <c r="K41">
        <f>F41*('CPI USA'!$E$12)*('CPI USA'!$B$80/'CPI USA'!$B$74)</f>
        <v>27.251639622206117</v>
      </c>
    </row>
    <row r="42" spans="1:11">
      <c r="A42" t="s">
        <v>1879</v>
      </c>
      <c r="B42">
        <v>2015</v>
      </c>
      <c r="C42" t="s">
        <v>1528</v>
      </c>
      <c r="D42">
        <v>0.51800000000000002</v>
      </c>
      <c r="E42">
        <v>12.7</v>
      </c>
      <c r="F42">
        <v>17.847951858000002</v>
      </c>
      <c r="G42" t="s">
        <v>1507</v>
      </c>
      <c r="H42" t="s">
        <v>1832</v>
      </c>
      <c r="K42">
        <f>F42*('CPI USA'!$E$12)*('CPI USA'!$B$80/'CPI USA'!$B$74)</f>
        <v>25.079407478407077</v>
      </c>
    </row>
    <row r="43" spans="1:11">
      <c r="A43" t="s">
        <v>1879</v>
      </c>
      <c r="B43">
        <v>2015</v>
      </c>
      <c r="C43" t="s">
        <v>1528</v>
      </c>
      <c r="D43">
        <v>0.51400000000000001</v>
      </c>
      <c r="E43">
        <v>6.9</v>
      </c>
      <c r="F43">
        <v>9.6969187260000016</v>
      </c>
      <c r="G43" t="s">
        <v>1507</v>
      </c>
      <c r="H43" t="s">
        <v>1832</v>
      </c>
      <c r="K43">
        <f>F43*('CPI USA'!$E$12)*('CPI USA'!$B$80/'CPI USA'!$B$74)</f>
        <v>13.625819811103058</v>
      </c>
    </row>
    <row r="44" spans="1:11">
      <c r="A44" t="s">
        <v>1879</v>
      </c>
      <c r="B44">
        <v>2015</v>
      </c>
      <c r="C44" t="s">
        <v>1528</v>
      </c>
      <c r="D44">
        <v>0.51900000000000002</v>
      </c>
      <c r="E44">
        <v>8.1</v>
      </c>
      <c r="F44">
        <v>11.383339374</v>
      </c>
      <c r="G44" t="s">
        <v>1507</v>
      </c>
      <c r="H44" t="s">
        <v>1832</v>
      </c>
      <c r="K44">
        <f>F44*('CPI USA'!$E$12)*('CPI USA'!$B$80/'CPI USA'!$B$74)</f>
        <v>15.995527604338371</v>
      </c>
    </row>
    <row r="45" spans="1:11">
      <c r="A45">
        <v>456</v>
      </c>
      <c r="B45">
        <v>2015</v>
      </c>
      <c r="C45" t="s">
        <v>1528</v>
      </c>
      <c r="D45">
        <v>0.26600000000000001</v>
      </c>
      <c r="E45">
        <v>10.9</v>
      </c>
      <c r="F45">
        <v>15.318320886000002</v>
      </c>
      <c r="G45" t="s">
        <v>1507</v>
      </c>
      <c r="H45" t="s">
        <v>1833</v>
      </c>
      <c r="K45">
        <f>F45*('CPI USA'!$E$12)*('CPI USA'!$B$80/'CPI USA'!$B$74)</f>
        <v>21.524845788554103</v>
      </c>
    </row>
    <row r="46" spans="1:11">
      <c r="A46">
        <v>456</v>
      </c>
      <c r="B46">
        <v>2015</v>
      </c>
      <c r="C46" t="s">
        <v>1528</v>
      </c>
      <c r="D46">
        <v>0.37</v>
      </c>
      <c r="E46">
        <v>22.8</v>
      </c>
      <c r="F46">
        <v>32.041992312000005</v>
      </c>
      <c r="G46" t="s">
        <v>1507</v>
      </c>
      <c r="H46" t="s">
        <v>1833</v>
      </c>
      <c r="K46">
        <f>F46*('CPI USA'!$E$12)*('CPI USA'!$B$80/'CPI USA'!$B$74)</f>
        <v>45.024448071470971</v>
      </c>
    </row>
    <row r="47" spans="1:11">
      <c r="A47">
        <v>456</v>
      </c>
      <c r="B47">
        <v>2015</v>
      </c>
      <c r="C47" t="s">
        <v>1528</v>
      </c>
      <c r="D47">
        <v>0.50600000000000001</v>
      </c>
      <c r="E47">
        <v>40.200000000000003</v>
      </c>
      <c r="F47">
        <v>56.495091708000011</v>
      </c>
      <c r="G47" t="s">
        <v>1507</v>
      </c>
      <c r="H47" t="s">
        <v>1833</v>
      </c>
      <c r="K47">
        <f>F47*('CPI USA'!$E$12)*('CPI USA'!$B$80/'CPI USA'!$B$74)</f>
        <v>79.385211073383033</v>
      </c>
    </row>
    <row r="48" spans="1:11">
      <c r="A48">
        <v>456</v>
      </c>
      <c r="B48">
        <v>2015</v>
      </c>
      <c r="C48" t="s">
        <v>1528</v>
      </c>
      <c r="D48">
        <v>0.26600000000000001</v>
      </c>
      <c r="E48">
        <v>10.3</v>
      </c>
      <c r="F48">
        <v>14.475110562000003</v>
      </c>
      <c r="G48" t="s">
        <v>1507</v>
      </c>
      <c r="H48" t="s">
        <v>1834</v>
      </c>
      <c r="K48">
        <f>F48*('CPI USA'!$E$12)*('CPI USA'!$B$80/'CPI USA'!$B$74)</f>
        <v>20.33999189193645</v>
      </c>
    </row>
    <row r="49" spans="1:11">
      <c r="A49">
        <v>456</v>
      </c>
      <c r="B49">
        <v>2015</v>
      </c>
      <c r="C49" t="s">
        <v>1528</v>
      </c>
      <c r="D49">
        <v>0.37</v>
      </c>
      <c r="E49">
        <v>11.9</v>
      </c>
      <c r="F49">
        <v>16.723671426000003</v>
      </c>
      <c r="G49" t="s">
        <v>1507</v>
      </c>
      <c r="H49" t="s">
        <v>1834</v>
      </c>
      <c r="K49">
        <f>F49*('CPI USA'!$E$12)*('CPI USA'!$B$80/'CPI USA'!$B$74)</f>
        <v>23.499602282916868</v>
      </c>
    </row>
    <row r="50" spans="1:11">
      <c r="A50">
        <v>456</v>
      </c>
      <c r="B50">
        <v>2015</v>
      </c>
      <c r="C50" t="s">
        <v>1528</v>
      </c>
      <c r="D50">
        <v>0.47</v>
      </c>
      <c r="E50">
        <v>10.199999999999999</v>
      </c>
      <c r="F50">
        <v>14.334575508</v>
      </c>
      <c r="G50" t="s">
        <v>1507</v>
      </c>
      <c r="H50" t="s">
        <v>1834</v>
      </c>
      <c r="K50">
        <f>F50*('CPI USA'!$E$12)*('CPI USA'!$B$80/'CPI USA'!$B$74)</f>
        <v>20.142516242500172</v>
      </c>
    </row>
    <row r="51" spans="1:11">
      <c r="A51">
        <v>456</v>
      </c>
      <c r="B51">
        <v>2015</v>
      </c>
      <c r="C51" t="s">
        <v>1528</v>
      </c>
      <c r="D51">
        <v>0.26600000000000001</v>
      </c>
      <c r="E51">
        <v>6.5</v>
      </c>
      <c r="F51">
        <v>9.1347785100000021</v>
      </c>
      <c r="G51" t="s">
        <v>1507</v>
      </c>
      <c r="H51" t="s">
        <v>1835</v>
      </c>
      <c r="K51">
        <f>F51*('CPI USA'!$E$12)*('CPI USA'!$B$80/'CPI USA'!$B$74)</f>
        <v>12.835917213357954</v>
      </c>
    </row>
    <row r="52" spans="1:11">
      <c r="A52">
        <v>456</v>
      </c>
      <c r="B52">
        <v>2015</v>
      </c>
      <c r="C52" t="s">
        <v>1528</v>
      </c>
      <c r="D52">
        <v>0.27900000000000003</v>
      </c>
      <c r="E52">
        <v>7.2</v>
      </c>
      <c r="F52">
        <v>10.118523888</v>
      </c>
      <c r="G52" t="s">
        <v>1507</v>
      </c>
      <c r="H52" t="s">
        <v>1835</v>
      </c>
      <c r="K52">
        <f>F52*('CPI USA'!$E$12)*('CPI USA'!$B$80/'CPI USA'!$B$74)</f>
        <v>14.218246759411887</v>
      </c>
    </row>
    <row r="53" spans="1:11">
      <c r="A53">
        <v>456</v>
      </c>
      <c r="B53">
        <v>2015</v>
      </c>
      <c r="C53" t="s">
        <v>1528</v>
      </c>
      <c r="D53">
        <v>0.35599999999999998</v>
      </c>
      <c r="E53">
        <v>4.8</v>
      </c>
      <c r="F53">
        <v>6.7456825920000005</v>
      </c>
      <c r="G53" t="s">
        <v>1507</v>
      </c>
      <c r="H53" t="s">
        <v>1835</v>
      </c>
      <c r="K53">
        <f>F53*('CPI USA'!$E$12)*('CPI USA'!$B$80/'CPI USA'!$B$74)</f>
        <v>9.4788311729412573</v>
      </c>
    </row>
    <row r="54" spans="1:11">
      <c r="A54">
        <v>456</v>
      </c>
      <c r="B54">
        <v>2015</v>
      </c>
      <c r="C54" t="s">
        <v>1528</v>
      </c>
      <c r="D54">
        <v>0.37</v>
      </c>
      <c r="E54">
        <v>7.5</v>
      </c>
      <c r="F54">
        <v>10.540129050000001</v>
      </c>
      <c r="G54" t="s">
        <v>1507</v>
      </c>
      <c r="H54" t="s">
        <v>1835</v>
      </c>
      <c r="K54">
        <f>F54*('CPI USA'!$E$12)*('CPI USA'!$B$80/'CPI USA'!$B$74)</f>
        <v>14.810673707720715</v>
      </c>
    </row>
    <row r="55" spans="1:11">
      <c r="A55">
        <v>456</v>
      </c>
      <c r="B55">
        <v>2015</v>
      </c>
      <c r="C55" t="s">
        <v>1528</v>
      </c>
      <c r="D55">
        <v>0.41499999999999998</v>
      </c>
      <c r="E55">
        <v>6.3</v>
      </c>
      <c r="F55">
        <v>8.8537084020000005</v>
      </c>
      <c r="G55" t="s">
        <v>1507</v>
      </c>
      <c r="H55" t="s">
        <v>1835</v>
      </c>
      <c r="K55">
        <f>F55*('CPI USA'!$E$12)*('CPI USA'!$B$80/'CPI USA'!$B$74)</f>
        <v>12.4409659144854</v>
      </c>
    </row>
    <row r="56" spans="1:11">
      <c r="A56">
        <v>456</v>
      </c>
      <c r="B56">
        <v>2015</v>
      </c>
      <c r="C56" t="s">
        <v>1528</v>
      </c>
      <c r="D56">
        <v>0.46</v>
      </c>
      <c r="E56">
        <v>7.2</v>
      </c>
      <c r="F56">
        <v>10.118523888</v>
      </c>
      <c r="G56" t="s">
        <v>1507</v>
      </c>
      <c r="H56" t="s">
        <v>1835</v>
      </c>
      <c r="K56">
        <f>F56*('CPI USA'!$E$12)*('CPI USA'!$B$80/'CPI USA'!$B$74)</f>
        <v>14.218246759411887</v>
      </c>
    </row>
    <row r="57" spans="1:11">
      <c r="A57">
        <v>456</v>
      </c>
      <c r="B57">
        <v>2015</v>
      </c>
      <c r="C57" t="s">
        <v>1528</v>
      </c>
      <c r="D57">
        <v>0.46</v>
      </c>
      <c r="E57">
        <v>7.5</v>
      </c>
      <c r="F57">
        <v>10.540129050000001</v>
      </c>
      <c r="G57" t="s">
        <v>1507</v>
      </c>
      <c r="H57" t="s">
        <v>1835</v>
      </c>
      <c r="K57">
        <f>F57*('CPI USA'!$E$12)*('CPI USA'!$B$80/'CPI USA'!$B$74)</f>
        <v>14.810673707720715</v>
      </c>
    </row>
    <row r="58" spans="1:11">
      <c r="A58">
        <v>456</v>
      </c>
      <c r="B58">
        <v>2015</v>
      </c>
      <c r="C58" t="s">
        <v>1528</v>
      </c>
      <c r="D58">
        <v>0.53800000000000003</v>
      </c>
      <c r="E58">
        <v>7.3</v>
      </c>
      <c r="F58">
        <v>10.259058942000001</v>
      </c>
      <c r="G58" t="s">
        <v>1507</v>
      </c>
      <c r="H58" t="s">
        <v>1835</v>
      </c>
      <c r="K58">
        <f>F58*('CPI USA'!$E$12)*('CPI USA'!$B$80/'CPI USA'!$B$74)</f>
        <v>14.415722408848163</v>
      </c>
    </row>
    <row r="59" spans="1:11">
      <c r="A59">
        <v>456</v>
      </c>
      <c r="B59">
        <v>2015</v>
      </c>
      <c r="C59" t="s">
        <v>1528</v>
      </c>
      <c r="D59">
        <v>0.53800000000000003</v>
      </c>
      <c r="E59">
        <v>8.5</v>
      </c>
      <c r="F59">
        <v>11.945479590000001</v>
      </c>
      <c r="G59" t="s">
        <v>1507</v>
      </c>
      <c r="H59" t="s">
        <v>1835</v>
      </c>
      <c r="K59">
        <f>F59*('CPI USA'!$E$12)*('CPI USA'!$B$80/'CPI USA'!$B$74)</f>
        <v>16.785430202083475</v>
      </c>
    </row>
    <row r="60" spans="1:11">
      <c r="A60">
        <v>456</v>
      </c>
      <c r="B60">
        <v>2015</v>
      </c>
      <c r="C60" t="s">
        <v>1528</v>
      </c>
      <c r="D60">
        <v>0.56000000000000005</v>
      </c>
      <c r="E60">
        <v>16.2</v>
      </c>
      <c r="F60">
        <v>22.766678748</v>
      </c>
      <c r="G60" t="s">
        <v>1507</v>
      </c>
      <c r="H60" t="s">
        <v>1835</v>
      </c>
      <c r="K60">
        <f>F60*('CPI USA'!$E$12)*('CPI USA'!$B$80/'CPI USA'!$B$74)</f>
        <v>31.991055208676741</v>
      </c>
    </row>
    <row r="61" spans="1:11">
      <c r="A61">
        <v>456</v>
      </c>
      <c r="B61">
        <v>2015</v>
      </c>
      <c r="C61" t="s">
        <v>1528</v>
      </c>
      <c r="D61">
        <v>0.60199999999999998</v>
      </c>
      <c r="E61">
        <v>12.8</v>
      </c>
      <c r="F61">
        <v>17.988486912000003</v>
      </c>
      <c r="G61" t="s">
        <v>1507</v>
      </c>
      <c r="H61" t="s">
        <v>1835</v>
      </c>
      <c r="K61">
        <f>F61*('CPI USA'!$E$12)*('CPI USA'!$B$80/'CPI USA'!$B$74)</f>
        <v>25.276883127843355</v>
      </c>
    </row>
    <row r="62" spans="1:11">
      <c r="A62">
        <v>456</v>
      </c>
      <c r="B62">
        <v>2015</v>
      </c>
      <c r="C62" t="s">
        <v>1528</v>
      </c>
      <c r="D62">
        <v>0.60199999999999998</v>
      </c>
      <c r="E62">
        <v>14.1</v>
      </c>
      <c r="F62">
        <v>19.815442614000002</v>
      </c>
      <c r="G62" t="s">
        <v>1507</v>
      </c>
      <c r="H62" t="s">
        <v>1835</v>
      </c>
      <c r="K62">
        <f>F62*('CPI USA'!$E$12)*('CPI USA'!$B$80/'CPI USA'!$B$74)</f>
        <v>27.844066570514943</v>
      </c>
    </row>
    <row r="63" spans="1:11">
      <c r="A63">
        <v>456</v>
      </c>
      <c r="B63">
        <v>2015</v>
      </c>
      <c r="C63" t="s">
        <v>1528</v>
      </c>
      <c r="D63">
        <v>0.45200000000000001</v>
      </c>
      <c r="E63">
        <v>7.2</v>
      </c>
      <c r="F63">
        <v>10.118523888</v>
      </c>
      <c r="G63" t="s">
        <v>1507</v>
      </c>
      <c r="H63" t="s">
        <v>1836</v>
      </c>
      <c r="K63">
        <f>F63*('CPI USA'!$E$12)*('CPI USA'!$B$80/'CPI USA'!$B$74)</f>
        <v>14.218246759411887</v>
      </c>
    </row>
    <row r="64" spans="1:11">
      <c r="A64">
        <v>456</v>
      </c>
      <c r="B64">
        <v>2015</v>
      </c>
      <c r="C64" t="s">
        <v>1528</v>
      </c>
      <c r="D64">
        <v>0.45300000000000001</v>
      </c>
      <c r="E64">
        <v>7.5</v>
      </c>
      <c r="F64">
        <v>10.540129050000001</v>
      </c>
      <c r="G64" t="s">
        <v>1507</v>
      </c>
      <c r="H64" t="s">
        <v>1836</v>
      </c>
      <c r="K64">
        <f>F64*('CPI USA'!$E$12)*('CPI USA'!$B$80/'CPI USA'!$B$74)</f>
        <v>14.810673707720715</v>
      </c>
    </row>
    <row r="65" spans="1:11">
      <c r="A65">
        <v>456</v>
      </c>
      <c r="B65">
        <v>2015</v>
      </c>
      <c r="C65" t="s">
        <v>1528</v>
      </c>
      <c r="D65">
        <v>0.52700000000000002</v>
      </c>
      <c r="E65">
        <v>1.5</v>
      </c>
      <c r="F65">
        <v>2.1080258100000004</v>
      </c>
      <c r="G65" t="s">
        <v>1507</v>
      </c>
      <c r="H65" t="s">
        <v>1836</v>
      </c>
      <c r="K65">
        <f>F65*('CPI USA'!$E$12)*('CPI USA'!$B$80/'CPI USA'!$B$74)</f>
        <v>2.9621347415441428</v>
      </c>
    </row>
    <row r="66" spans="1:11">
      <c r="A66">
        <v>456</v>
      </c>
      <c r="B66">
        <v>2015</v>
      </c>
      <c r="C66" t="s">
        <v>1528</v>
      </c>
      <c r="D66">
        <v>0.53</v>
      </c>
      <c r="E66">
        <v>6.6</v>
      </c>
      <c r="F66">
        <v>9.2753135640000011</v>
      </c>
      <c r="G66" t="s">
        <v>1507</v>
      </c>
      <c r="H66" t="s">
        <v>1836</v>
      </c>
      <c r="K66">
        <f>F66*('CPI USA'!$E$12)*('CPI USA'!$B$80/'CPI USA'!$B$74)</f>
        <v>13.033392862794228</v>
      </c>
    </row>
    <row r="67" spans="1:11">
      <c r="A67">
        <v>456</v>
      </c>
      <c r="B67">
        <v>2015</v>
      </c>
      <c r="C67" t="s">
        <v>1528</v>
      </c>
      <c r="D67">
        <v>0.58899999999999997</v>
      </c>
      <c r="E67">
        <v>8</v>
      </c>
      <c r="F67">
        <v>11.242804320000001</v>
      </c>
      <c r="G67" t="s">
        <v>1507</v>
      </c>
      <c r="H67" t="s">
        <v>1836</v>
      </c>
      <c r="K67">
        <f>F67*('CPI USA'!$E$12)*('CPI USA'!$B$80/'CPI USA'!$B$74)</f>
        <v>15.798051954902094</v>
      </c>
    </row>
    <row r="68" spans="1:11">
      <c r="A68">
        <v>456</v>
      </c>
      <c r="B68">
        <v>2015</v>
      </c>
      <c r="C68" t="s">
        <v>1528</v>
      </c>
      <c r="D68">
        <v>0.58899999999999997</v>
      </c>
      <c r="E68">
        <v>8.5</v>
      </c>
      <c r="F68">
        <v>11.945479590000001</v>
      </c>
      <c r="G68" t="s">
        <v>1507</v>
      </c>
      <c r="H68" t="s">
        <v>1836</v>
      </c>
      <c r="K68">
        <f>F68*('CPI USA'!$E$12)*('CPI USA'!$B$80/'CPI USA'!$B$74)</f>
        <v>16.785430202083475</v>
      </c>
    </row>
    <row r="69" spans="1:11">
      <c r="A69" t="s">
        <v>1879</v>
      </c>
      <c r="B69">
        <v>2015</v>
      </c>
      <c r="C69" t="s">
        <v>1528</v>
      </c>
      <c r="D69">
        <v>0.36099999999999999</v>
      </c>
      <c r="E69">
        <v>22.9</v>
      </c>
      <c r="F69">
        <v>32.182527366000002</v>
      </c>
      <c r="G69" t="s">
        <v>1507</v>
      </c>
      <c r="H69" t="s">
        <v>1837</v>
      </c>
      <c r="K69">
        <f>F69*('CPI USA'!$E$12)*('CPI USA'!$B$80/'CPI USA'!$B$74)</f>
        <v>45.221923720907249</v>
      </c>
    </row>
    <row r="70" spans="1:11">
      <c r="A70" t="s">
        <v>1879</v>
      </c>
      <c r="B70">
        <v>2015</v>
      </c>
      <c r="C70" t="s">
        <v>1528</v>
      </c>
      <c r="D70">
        <v>0.36299999999999999</v>
      </c>
      <c r="E70">
        <v>12</v>
      </c>
      <c r="F70">
        <v>16.864206480000004</v>
      </c>
      <c r="G70" t="s">
        <v>1507</v>
      </c>
      <c r="H70" t="s">
        <v>1837</v>
      </c>
      <c r="K70">
        <f>F70*('CPI USA'!$E$12)*('CPI USA'!$B$80/'CPI USA'!$B$74)</f>
        <v>23.697077932353142</v>
      </c>
    </row>
    <row r="71" spans="1:11">
      <c r="A71" t="s">
        <v>1879</v>
      </c>
      <c r="B71">
        <v>2015</v>
      </c>
      <c r="C71" t="s">
        <v>1528</v>
      </c>
      <c r="D71">
        <v>0.36399999999999999</v>
      </c>
      <c r="E71">
        <v>10.4</v>
      </c>
      <c r="F71">
        <v>14.615645616000004</v>
      </c>
      <c r="G71" t="s">
        <v>1507</v>
      </c>
      <c r="H71" t="s">
        <v>1837</v>
      </c>
      <c r="K71">
        <f>F71*('CPI USA'!$E$12)*('CPI USA'!$B$80/'CPI USA'!$B$74)</f>
        <v>20.537467541372727</v>
      </c>
    </row>
    <row r="72" spans="1:11">
      <c r="A72" t="s">
        <v>1879</v>
      </c>
      <c r="B72">
        <v>2015</v>
      </c>
      <c r="C72" t="s">
        <v>1528</v>
      </c>
      <c r="D72">
        <v>0.47099999999999997</v>
      </c>
      <c r="E72">
        <v>35.700000000000003</v>
      </c>
      <c r="F72">
        <v>50.171014278000008</v>
      </c>
      <c r="G72" t="s">
        <v>1507</v>
      </c>
      <c r="H72" t="s">
        <v>1837</v>
      </c>
      <c r="K72">
        <f>F72*('CPI USA'!$E$12)*('CPI USA'!$B$80/'CPI USA'!$B$74)</f>
        <v>70.498806848750604</v>
      </c>
    </row>
    <row r="73" spans="1:11">
      <c r="A73" t="s">
        <v>1879</v>
      </c>
      <c r="B73">
        <v>2015</v>
      </c>
      <c r="C73" t="s">
        <v>1528</v>
      </c>
      <c r="D73">
        <v>0.51900000000000002</v>
      </c>
      <c r="E73">
        <v>25.2</v>
      </c>
      <c r="F73">
        <v>35.414833608000002</v>
      </c>
      <c r="G73" t="s">
        <v>1507</v>
      </c>
      <c r="H73" t="s">
        <v>1837</v>
      </c>
      <c r="K73">
        <f>F73*('CPI USA'!$E$12)*('CPI USA'!$B$80/'CPI USA'!$B$74)</f>
        <v>49.763863657941599</v>
      </c>
    </row>
    <row r="74" spans="1:11">
      <c r="A74" t="s">
        <v>1879</v>
      </c>
      <c r="B74">
        <v>2015</v>
      </c>
      <c r="C74" t="s">
        <v>1528</v>
      </c>
      <c r="D74">
        <v>0.51800000000000002</v>
      </c>
      <c r="E74">
        <v>24.4</v>
      </c>
      <c r="F74">
        <v>34.290553175999996</v>
      </c>
      <c r="G74" t="s">
        <v>1507</v>
      </c>
      <c r="H74" t="s">
        <v>1837</v>
      </c>
      <c r="K74">
        <f>F74*('CPI USA'!$E$12)*('CPI USA'!$B$80/'CPI USA'!$B$74)</f>
        <v>48.184058462451382</v>
      </c>
    </row>
    <row r="75" spans="1:11">
      <c r="A75" t="s">
        <v>1879</v>
      </c>
      <c r="B75">
        <v>2015</v>
      </c>
      <c r="C75" t="s">
        <v>1528</v>
      </c>
      <c r="D75">
        <v>0.51300000000000001</v>
      </c>
      <c r="E75">
        <v>12.2</v>
      </c>
      <c r="F75">
        <v>17.145276587999998</v>
      </c>
      <c r="G75" t="s">
        <v>1507</v>
      </c>
      <c r="H75" t="s">
        <v>1837</v>
      </c>
      <c r="K75">
        <f>F75*('CPI USA'!$E$12)*('CPI USA'!$B$80/'CPI USA'!$B$74)</f>
        <v>24.092029231225691</v>
      </c>
    </row>
    <row r="76" spans="1:11">
      <c r="A76" t="s">
        <v>1879</v>
      </c>
      <c r="B76">
        <v>2015</v>
      </c>
      <c r="C76" t="s">
        <v>1528</v>
      </c>
      <c r="D76">
        <v>0.51400000000000001</v>
      </c>
      <c r="E76">
        <v>11.1</v>
      </c>
      <c r="F76">
        <v>15.599390994000002</v>
      </c>
      <c r="G76" t="s">
        <v>1507</v>
      </c>
      <c r="H76" t="s">
        <v>1837</v>
      </c>
      <c r="K76">
        <f>F76*('CPI USA'!$E$12)*('CPI USA'!$B$80/'CPI USA'!$B$74)</f>
        <v>21.919797087426659</v>
      </c>
    </row>
    <row r="77" spans="1:11">
      <c r="A77">
        <v>456</v>
      </c>
      <c r="B77">
        <v>2015</v>
      </c>
      <c r="C77" t="s">
        <v>1528</v>
      </c>
      <c r="D77">
        <v>0.26600000000000001</v>
      </c>
      <c r="E77">
        <v>10.4</v>
      </c>
      <c r="F77">
        <v>14.615645616000004</v>
      </c>
      <c r="G77" t="s">
        <v>1507</v>
      </c>
      <c r="H77" t="s">
        <v>1838</v>
      </c>
      <c r="K77">
        <f>F77*('CPI USA'!$E$12)*('CPI USA'!$B$80/'CPI USA'!$B$74)</f>
        <v>20.537467541372727</v>
      </c>
    </row>
    <row r="78" spans="1:11">
      <c r="A78">
        <v>456</v>
      </c>
      <c r="B78">
        <v>2015</v>
      </c>
      <c r="C78" t="s">
        <v>1528</v>
      </c>
      <c r="D78">
        <v>0.37</v>
      </c>
      <c r="E78">
        <v>28.9</v>
      </c>
      <c r="F78">
        <v>40.614630605999999</v>
      </c>
      <c r="G78" t="s">
        <v>1507</v>
      </c>
      <c r="H78" t="s">
        <v>1838</v>
      </c>
      <c r="K78">
        <f>F78*('CPI USA'!$E$12)*('CPI USA'!$B$80/'CPI USA'!$B$74)</f>
        <v>57.070462687083811</v>
      </c>
    </row>
    <row r="79" spans="1:11">
      <c r="A79">
        <v>456</v>
      </c>
      <c r="B79">
        <v>2015</v>
      </c>
      <c r="C79" t="s">
        <v>1528</v>
      </c>
      <c r="D79">
        <v>0.505</v>
      </c>
      <c r="E79">
        <v>43.5</v>
      </c>
      <c r="F79">
        <v>61.132748490000004</v>
      </c>
      <c r="G79" t="s">
        <v>1507</v>
      </c>
      <c r="H79" t="s">
        <v>1838</v>
      </c>
      <c r="K79">
        <f>F79*('CPI USA'!$E$12)*('CPI USA'!$B$80/'CPI USA'!$B$74)</f>
        <v>85.901907504780141</v>
      </c>
    </row>
    <row r="80" spans="1:11">
      <c r="A80">
        <v>456</v>
      </c>
      <c r="B80">
        <v>2015</v>
      </c>
      <c r="C80" t="s">
        <v>1528</v>
      </c>
      <c r="D80">
        <v>0.26500000000000001</v>
      </c>
      <c r="E80">
        <v>9.6999999999999993</v>
      </c>
      <c r="F80">
        <v>13.631900238</v>
      </c>
      <c r="G80" t="s">
        <v>1507</v>
      </c>
      <c r="H80" t="s">
        <v>1839</v>
      </c>
      <c r="K80">
        <f>F80*('CPI USA'!$E$12)*('CPI USA'!$B$80/'CPI USA'!$B$74)</f>
        <v>19.155137995318789</v>
      </c>
    </row>
    <row r="81" spans="1:11">
      <c r="A81">
        <v>456</v>
      </c>
      <c r="B81">
        <v>2015</v>
      </c>
      <c r="C81" t="s">
        <v>1528</v>
      </c>
      <c r="D81">
        <v>0.37</v>
      </c>
      <c r="E81">
        <v>11.2</v>
      </c>
      <c r="F81">
        <v>15.739926048000001</v>
      </c>
      <c r="G81" t="s">
        <v>1507</v>
      </c>
      <c r="H81" t="s">
        <v>1839</v>
      </c>
      <c r="K81">
        <f>F81*('CPI USA'!$E$12)*('CPI USA'!$B$80/'CPI USA'!$B$74)</f>
        <v>22.117272736862933</v>
      </c>
    </row>
    <row r="82" spans="1:11">
      <c r="A82">
        <v>456</v>
      </c>
      <c r="B82">
        <v>2015</v>
      </c>
      <c r="C82" t="s">
        <v>1528</v>
      </c>
      <c r="D82">
        <v>0.47</v>
      </c>
      <c r="E82">
        <v>17.399999999999999</v>
      </c>
      <c r="F82">
        <v>24.453099396000002</v>
      </c>
      <c r="G82" t="s">
        <v>1507</v>
      </c>
      <c r="H82" t="s">
        <v>1839</v>
      </c>
      <c r="K82">
        <f>F82*('CPI USA'!$E$12)*('CPI USA'!$B$80/'CPI USA'!$B$74)</f>
        <v>34.360763001912055</v>
      </c>
    </row>
    <row r="83" spans="1:11">
      <c r="A83">
        <v>456</v>
      </c>
      <c r="B83">
        <v>2015</v>
      </c>
      <c r="C83" t="s">
        <v>1528</v>
      </c>
      <c r="D83">
        <v>0.26500000000000001</v>
      </c>
      <c r="E83">
        <v>7</v>
      </c>
      <c r="F83">
        <v>9.8374537800000024</v>
      </c>
      <c r="G83" t="s">
        <v>1507</v>
      </c>
      <c r="H83" t="s">
        <v>1840</v>
      </c>
      <c r="K83">
        <f>F83*('CPI USA'!$E$12)*('CPI USA'!$B$80/'CPI USA'!$B$74)</f>
        <v>13.823295460539336</v>
      </c>
    </row>
    <row r="84" spans="1:11">
      <c r="A84">
        <v>456</v>
      </c>
      <c r="B84">
        <v>2015</v>
      </c>
      <c r="C84" t="s">
        <v>1528</v>
      </c>
      <c r="D84">
        <v>0.27800000000000002</v>
      </c>
      <c r="E84">
        <v>12.3</v>
      </c>
      <c r="F84">
        <v>17.285811642000006</v>
      </c>
      <c r="G84" t="s">
        <v>1507</v>
      </c>
      <c r="H84" t="s">
        <v>1840</v>
      </c>
      <c r="K84">
        <f>F84*('CPI USA'!$E$12)*('CPI USA'!$B$80/'CPI USA'!$B$74)</f>
        <v>24.289504880661976</v>
      </c>
    </row>
    <row r="85" spans="1:11">
      <c r="A85">
        <v>456</v>
      </c>
      <c r="B85">
        <v>2015</v>
      </c>
      <c r="C85" t="s">
        <v>1528</v>
      </c>
      <c r="D85">
        <v>0.35499999999999998</v>
      </c>
      <c r="E85">
        <v>12.7</v>
      </c>
      <c r="F85">
        <v>17.847951858000002</v>
      </c>
      <c r="G85" t="s">
        <v>1507</v>
      </c>
      <c r="H85" t="s">
        <v>1840</v>
      </c>
      <c r="K85">
        <f>F85*('CPI USA'!$E$12)*('CPI USA'!$B$80/'CPI USA'!$B$74)</f>
        <v>25.079407478407077</v>
      </c>
    </row>
    <row r="86" spans="1:11">
      <c r="A86">
        <v>456</v>
      </c>
      <c r="B86">
        <v>2015</v>
      </c>
      <c r="C86" t="s">
        <v>1528</v>
      </c>
      <c r="D86">
        <v>0.37</v>
      </c>
      <c r="E86">
        <v>8.1</v>
      </c>
      <c r="F86">
        <v>11.383339374</v>
      </c>
      <c r="G86" t="s">
        <v>1507</v>
      </c>
      <c r="H86" t="s">
        <v>1840</v>
      </c>
      <c r="K86">
        <f>F86*('CPI USA'!$E$12)*('CPI USA'!$B$80/'CPI USA'!$B$74)</f>
        <v>15.995527604338371</v>
      </c>
    </row>
    <row r="87" spans="1:11">
      <c r="A87">
        <v>456</v>
      </c>
      <c r="B87">
        <v>2015</v>
      </c>
      <c r="C87" t="s">
        <v>1528</v>
      </c>
      <c r="D87">
        <v>0.41499999999999998</v>
      </c>
      <c r="E87">
        <v>13.3</v>
      </c>
      <c r="F87">
        <v>18.691162182000003</v>
      </c>
      <c r="G87" t="s">
        <v>1507</v>
      </c>
      <c r="H87" t="s">
        <v>1840</v>
      </c>
      <c r="K87">
        <f>F87*('CPI USA'!$E$12)*('CPI USA'!$B$80/'CPI USA'!$B$74)</f>
        <v>26.264261375024738</v>
      </c>
    </row>
    <row r="88" spans="1:11">
      <c r="A88">
        <v>456</v>
      </c>
      <c r="B88">
        <v>2015</v>
      </c>
      <c r="C88" t="s">
        <v>1528</v>
      </c>
      <c r="D88">
        <v>0.46</v>
      </c>
      <c r="E88">
        <v>13.6</v>
      </c>
      <c r="F88">
        <v>19.112767344000002</v>
      </c>
      <c r="G88" t="s">
        <v>1507</v>
      </c>
      <c r="H88" t="s">
        <v>1840</v>
      </c>
      <c r="K88">
        <f>F88*('CPI USA'!$E$12)*('CPI USA'!$B$80/'CPI USA'!$B$74)</f>
        <v>26.856688323333561</v>
      </c>
    </row>
    <row r="89" spans="1:11">
      <c r="A89">
        <v>456</v>
      </c>
      <c r="B89">
        <v>2015</v>
      </c>
      <c r="C89" t="s">
        <v>1528</v>
      </c>
      <c r="D89">
        <v>0.46</v>
      </c>
      <c r="E89">
        <v>14.4</v>
      </c>
      <c r="F89">
        <v>20.237047776000001</v>
      </c>
      <c r="G89" t="s">
        <v>1507</v>
      </c>
      <c r="H89" t="s">
        <v>1840</v>
      </c>
      <c r="K89">
        <f>F89*('CPI USA'!$E$12)*('CPI USA'!$B$80/'CPI USA'!$B$74)</f>
        <v>28.436493518823774</v>
      </c>
    </row>
    <row r="90" spans="1:11">
      <c r="A90">
        <v>456</v>
      </c>
      <c r="B90">
        <v>2015</v>
      </c>
      <c r="C90" t="s">
        <v>1528</v>
      </c>
      <c r="D90">
        <v>0.53900000000000003</v>
      </c>
      <c r="E90">
        <v>14.6</v>
      </c>
      <c r="F90">
        <v>20.518117884000002</v>
      </c>
      <c r="G90" t="s">
        <v>1507</v>
      </c>
      <c r="H90" t="s">
        <v>1840</v>
      </c>
      <c r="K90">
        <f>F90*('CPI USA'!$E$12)*('CPI USA'!$B$80/'CPI USA'!$B$74)</f>
        <v>28.831444817696326</v>
      </c>
    </row>
    <row r="91" spans="1:11">
      <c r="A91">
        <v>456</v>
      </c>
      <c r="B91">
        <v>2015</v>
      </c>
      <c r="C91" t="s">
        <v>1528</v>
      </c>
      <c r="D91">
        <v>0.53900000000000003</v>
      </c>
      <c r="E91">
        <v>17.100000000000001</v>
      </c>
      <c r="F91">
        <v>24.031494234000004</v>
      </c>
      <c r="G91" t="s">
        <v>1507</v>
      </c>
      <c r="H91" t="s">
        <v>1840</v>
      </c>
      <c r="K91">
        <f>F91*('CPI USA'!$E$12)*('CPI USA'!$B$80/'CPI USA'!$B$74)</f>
        <v>33.768336053603228</v>
      </c>
    </row>
    <row r="92" spans="1:11">
      <c r="A92">
        <v>456</v>
      </c>
      <c r="B92">
        <v>2015</v>
      </c>
      <c r="C92" t="s">
        <v>1528</v>
      </c>
      <c r="D92">
        <v>0.56100000000000005</v>
      </c>
      <c r="E92">
        <v>22.5</v>
      </c>
      <c r="F92">
        <v>31.620387150000003</v>
      </c>
      <c r="G92" t="s">
        <v>1507</v>
      </c>
      <c r="H92" t="s">
        <v>1840</v>
      </c>
      <c r="K92">
        <f>F92*('CPI USA'!$E$12)*('CPI USA'!$B$80/'CPI USA'!$B$74)</f>
        <v>44.432021123162144</v>
      </c>
    </row>
    <row r="93" spans="1:11">
      <c r="A93">
        <v>456</v>
      </c>
      <c r="B93">
        <v>2015</v>
      </c>
      <c r="C93" t="s">
        <v>1528</v>
      </c>
      <c r="D93">
        <v>0.60199999999999998</v>
      </c>
      <c r="E93">
        <v>29</v>
      </c>
      <c r="F93">
        <v>40.755165660000003</v>
      </c>
      <c r="G93" t="s">
        <v>1507</v>
      </c>
      <c r="H93" t="s">
        <v>1840</v>
      </c>
      <c r="K93">
        <f>F93*('CPI USA'!$E$12)*('CPI USA'!$B$80/'CPI USA'!$B$74)</f>
        <v>57.267938336520096</v>
      </c>
    </row>
    <row r="94" spans="1:11">
      <c r="A94">
        <v>456</v>
      </c>
      <c r="B94">
        <v>2015</v>
      </c>
      <c r="C94" t="s">
        <v>1528</v>
      </c>
      <c r="D94">
        <v>0.60199999999999998</v>
      </c>
      <c r="E94">
        <v>27.3</v>
      </c>
      <c r="F94">
        <v>38.366069742000008</v>
      </c>
      <c r="G94" t="s">
        <v>1507</v>
      </c>
      <c r="H94" t="s">
        <v>1840</v>
      </c>
      <c r="K94">
        <f>F94*('CPI USA'!$E$12)*('CPI USA'!$B$80/'CPI USA'!$B$74)</f>
        <v>53.910852296103407</v>
      </c>
    </row>
    <row r="95" spans="1:11">
      <c r="A95">
        <v>456</v>
      </c>
      <c r="B95">
        <v>2015</v>
      </c>
      <c r="C95" t="s">
        <v>1528</v>
      </c>
      <c r="D95">
        <v>0.45200000000000001</v>
      </c>
      <c r="E95">
        <v>8.1</v>
      </c>
      <c r="F95">
        <v>11.383339374</v>
      </c>
      <c r="G95" t="s">
        <v>1507</v>
      </c>
      <c r="H95" t="s">
        <v>1841</v>
      </c>
      <c r="K95">
        <f>F95*('CPI USA'!$E$12)*('CPI USA'!$B$80/'CPI USA'!$B$74)</f>
        <v>15.995527604338371</v>
      </c>
    </row>
    <row r="96" spans="1:11">
      <c r="A96">
        <v>456</v>
      </c>
      <c r="B96">
        <v>2015</v>
      </c>
      <c r="C96" t="s">
        <v>1528</v>
      </c>
      <c r="D96">
        <v>0.45400000000000001</v>
      </c>
      <c r="E96">
        <v>11.8</v>
      </c>
      <c r="F96">
        <v>16.583136372000006</v>
      </c>
      <c r="G96" t="s">
        <v>1507</v>
      </c>
      <c r="H96" t="s">
        <v>1841</v>
      </c>
      <c r="K96">
        <f>F96*('CPI USA'!$E$12)*('CPI USA'!$B$80/'CPI USA'!$B$74)</f>
        <v>23.302126633480597</v>
      </c>
    </row>
    <row r="97" spans="1:11">
      <c r="A97">
        <v>456</v>
      </c>
      <c r="B97">
        <v>2015</v>
      </c>
      <c r="C97" t="s">
        <v>1528</v>
      </c>
      <c r="D97">
        <v>0.52800000000000002</v>
      </c>
      <c r="E97">
        <v>5.8</v>
      </c>
      <c r="F97">
        <v>8.1510331320000002</v>
      </c>
      <c r="G97" t="s">
        <v>1507</v>
      </c>
      <c r="H97" t="s">
        <v>1841</v>
      </c>
      <c r="K97">
        <f>F97*('CPI USA'!$E$12)*('CPI USA'!$B$80/'CPI USA'!$B$74)</f>
        <v>11.453587667304019</v>
      </c>
    </row>
    <row r="98" spans="1:11">
      <c r="A98">
        <v>456</v>
      </c>
      <c r="B98">
        <v>2015</v>
      </c>
      <c r="C98" t="s">
        <v>1528</v>
      </c>
      <c r="D98">
        <v>0.53</v>
      </c>
      <c r="E98">
        <v>10.4</v>
      </c>
      <c r="F98">
        <v>14.615645616000004</v>
      </c>
      <c r="G98" t="s">
        <v>1507</v>
      </c>
      <c r="H98" t="s">
        <v>1841</v>
      </c>
      <c r="K98">
        <f>F98*('CPI USA'!$E$12)*('CPI USA'!$B$80/'CPI USA'!$B$74)</f>
        <v>20.537467541372727</v>
      </c>
    </row>
    <row r="99" spans="1:11">
      <c r="A99">
        <v>456</v>
      </c>
      <c r="B99">
        <v>2015</v>
      </c>
      <c r="C99" t="s">
        <v>1528</v>
      </c>
      <c r="D99">
        <v>0.58899999999999997</v>
      </c>
      <c r="E99">
        <v>10</v>
      </c>
      <c r="F99">
        <v>14.053505400000001</v>
      </c>
      <c r="G99" t="s">
        <v>1507</v>
      </c>
      <c r="H99" t="s">
        <v>1841</v>
      </c>
      <c r="K99">
        <f>F99*('CPI USA'!$E$12)*('CPI USA'!$B$80/'CPI USA'!$B$74)</f>
        <v>19.747564943627616</v>
      </c>
    </row>
    <row r="100" spans="1:11">
      <c r="A100">
        <v>456</v>
      </c>
      <c r="B100">
        <v>2015</v>
      </c>
      <c r="C100" t="s">
        <v>1528</v>
      </c>
      <c r="D100">
        <v>0.59</v>
      </c>
      <c r="E100">
        <v>14.6</v>
      </c>
      <c r="F100">
        <v>20.518117884000002</v>
      </c>
      <c r="G100" t="s">
        <v>1507</v>
      </c>
      <c r="H100" t="s">
        <v>1841</v>
      </c>
      <c r="K100">
        <f>F100*('CPI USA'!$E$12)*('CPI USA'!$B$80/'CPI USA'!$B$74)</f>
        <v>28.831444817696326</v>
      </c>
    </row>
    <row r="101" spans="1:11">
      <c r="A101">
        <v>461</v>
      </c>
      <c r="B101">
        <v>2009</v>
      </c>
      <c r="C101" t="s">
        <v>1502</v>
      </c>
      <c r="D101">
        <v>0.18899999999999997</v>
      </c>
      <c r="E101">
        <v>10.8</v>
      </c>
      <c r="F101">
        <v>12.140623966486608</v>
      </c>
      <c r="G101" t="s">
        <v>1894</v>
      </c>
      <c r="H101" t="s">
        <v>1895</v>
      </c>
      <c r="K101">
        <f>F101*('CPI USA'!$E$12)*('CPI USA'!$B$80/'CPI USA'!$B$74)</f>
        <v>17.059641236154235</v>
      </c>
    </row>
    <row r="102" spans="1:11">
      <c r="A102">
        <v>461</v>
      </c>
      <c r="B102">
        <v>2009</v>
      </c>
      <c r="C102" t="s">
        <v>1502</v>
      </c>
      <c r="D102">
        <v>0.18899999999999997</v>
      </c>
      <c r="E102">
        <v>12.1</v>
      </c>
      <c r="F102">
        <v>13.601995369859996</v>
      </c>
      <c r="G102" t="s">
        <v>1894</v>
      </c>
      <c r="H102" t="s">
        <v>1896</v>
      </c>
      <c r="K102">
        <f>F102*('CPI USA'!$E$12)*('CPI USA'!$B$80/'CPI USA'!$B$74)</f>
        <v>19.113116570135762</v>
      </c>
    </row>
    <row r="103" spans="1:11">
      <c r="A103">
        <v>461</v>
      </c>
      <c r="B103">
        <v>2009</v>
      </c>
      <c r="C103" t="s">
        <v>1502</v>
      </c>
      <c r="D103">
        <v>0.189</v>
      </c>
      <c r="E103">
        <v>15.8</v>
      </c>
      <c r="F103">
        <v>17.761283210230406</v>
      </c>
      <c r="G103" t="s">
        <v>1894</v>
      </c>
      <c r="H103" t="s">
        <v>1897</v>
      </c>
      <c r="K103">
        <f>F103*('CPI USA'!$E$12)*('CPI USA'!$B$80/'CPI USA'!$B$74)</f>
        <v>24.957623289929341</v>
      </c>
    </row>
    <row r="104" spans="1:11">
      <c r="A104">
        <v>461</v>
      </c>
      <c r="B104">
        <v>2009</v>
      </c>
      <c r="C104" t="s">
        <v>1502</v>
      </c>
      <c r="D104">
        <v>0.375</v>
      </c>
      <c r="E104">
        <v>13.4</v>
      </c>
      <c r="F104">
        <v>15.063366773233383</v>
      </c>
      <c r="G104" t="s">
        <v>1894</v>
      </c>
      <c r="H104" t="s">
        <v>1895</v>
      </c>
      <c r="K104">
        <f>F104*('CPI USA'!$E$12)*('CPI USA'!$B$80/'CPI USA'!$B$74)</f>
        <v>21.16659190411729</v>
      </c>
    </row>
    <row r="105" spans="1:11">
      <c r="A105">
        <v>461</v>
      </c>
      <c r="B105">
        <v>2009</v>
      </c>
      <c r="C105" t="s">
        <v>1502</v>
      </c>
      <c r="D105">
        <v>0.375</v>
      </c>
      <c r="E105">
        <v>14.6</v>
      </c>
      <c r="F105">
        <v>16.412324991731893</v>
      </c>
      <c r="G105" t="s">
        <v>1894</v>
      </c>
      <c r="H105" t="s">
        <v>1896</v>
      </c>
      <c r="K105">
        <f>F105*('CPI USA'!$E$12)*('CPI USA'!$B$80/'CPI USA'!$B$74)</f>
        <v>23.062107597023314</v>
      </c>
    </row>
    <row r="106" spans="1:11">
      <c r="A106">
        <v>461</v>
      </c>
      <c r="B106">
        <v>2009</v>
      </c>
      <c r="C106" t="s">
        <v>1502</v>
      </c>
      <c r="D106">
        <v>0.36299999999999999</v>
      </c>
      <c r="E106">
        <v>21.1</v>
      </c>
      <c r="F106">
        <v>23.719182008598835</v>
      </c>
      <c r="G106" t="s">
        <v>1894</v>
      </c>
      <c r="H106" t="s">
        <v>1897</v>
      </c>
      <c r="K106">
        <f>F106*('CPI USA'!$E$12)*('CPI USA'!$B$80/'CPI USA'!$B$74)</f>
        <v>33.329484266930962</v>
      </c>
    </row>
    <row r="107" spans="1:11">
      <c r="A107">
        <v>461</v>
      </c>
      <c r="B107">
        <v>2009</v>
      </c>
      <c r="C107" t="s">
        <v>1502</v>
      </c>
      <c r="D107">
        <v>0.55899999999999994</v>
      </c>
      <c r="E107">
        <v>15.9</v>
      </c>
      <c r="F107">
        <v>17.873696395105284</v>
      </c>
      <c r="G107" t="s">
        <v>1894</v>
      </c>
      <c r="H107" t="s">
        <v>1895</v>
      </c>
      <c r="K107">
        <f>F107*('CPI USA'!$E$12)*('CPI USA'!$B$80/'CPI USA'!$B$74)</f>
        <v>25.115582931004845</v>
      </c>
    </row>
    <row r="108" spans="1:11">
      <c r="A108">
        <v>461</v>
      </c>
      <c r="B108">
        <v>2009</v>
      </c>
      <c r="C108" t="s">
        <v>1502</v>
      </c>
      <c r="D108">
        <v>0.55299999999999994</v>
      </c>
      <c r="E108">
        <v>17.5</v>
      </c>
      <c r="F108">
        <v>19.672307353103299</v>
      </c>
      <c r="G108" t="s">
        <v>1894</v>
      </c>
      <c r="H108" t="s">
        <v>1896</v>
      </c>
      <c r="K108">
        <f>F108*('CPI USA'!$E$12)*('CPI USA'!$B$80/'CPI USA'!$B$74)</f>
        <v>27.64293718821288</v>
      </c>
    </row>
    <row r="109" spans="1:11">
      <c r="A109">
        <v>461</v>
      </c>
      <c r="B109">
        <v>2009</v>
      </c>
      <c r="C109" t="s">
        <v>1502</v>
      </c>
      <c r="D109">
        <v>0.53299999999999992</v>
      </c>
      <c r="E109">
        <v>26.3</v>
      </c>
      <c r="F109">
        <v>29.564667622092387</v>
      </c>
      <c r="G109" t="s">
        <v>1894</v>
      </c>
      <c r="H109" t="s">
        <v>1897</v>
      </c>
      <c r="K109">
        <f>F109*('CPI USA'!$E$12)*('CPI USA'!$B$80/'CPI USA'!$B$74)</f>
        <v>41.543385602857072</v>
      </c>
    </row>
    <row r="110" spans="1:11">
      <c r="A110">
        <v>461</v>
      </c>
      <c r="B110">
        <v>2009</v>
      </c>
      <c r="C110" t="s">
        <v>1502</v>
      </c>
      <c r="D110">
        <v>0.72699999999999998</v>
      </c>
      <c r="E110">
        <v>18.7</v>
      </c>
      <c r="F110">
        <v>21.021265571601809</v>
      </c>
      <c r="G110" t="s">
        <v>1894</v>
      </c>
      <c r="H110" t="s">
        <v>1895</v>
      </c>
      <c r="K110">
        <f>F110*('CPI USA'!$E$12)*('CPI USA'!$B$80/'CPI USA'!$B$74)</f>
        <v>29.538452881118904</v>
      </c>
    </row>
    <row r="111" spans="1:11">
      <c r="A111">
        <v>461</v>
      </c>
      <c r="B111">
        <v>2009</v>
      </c>
      <c r="C111" t="s">
        <v>1502</v>
      </c>
      <c r="D111">
        <v>0.71900000000000008</v>
      </c>
      <c r="E111">
        <v>20.8</v>
      </c>
      <c r="F111">
        <v>23.381942453974208</v>
      </c>
      <c r="G111" t="s">
        <v>1894</v>
      </c>
      <c r="H111" t="s">
        <v>1896</v>
      </c>
      <c r="K111">
        <f>F111*('CPI USA'!$E$12)*('CPI USA'!$B$80/'CPI USA'!$B$74)</f>
        <v>32.855605343704454</v>
      </c>
    </row>
    <row r="112" spans="1:11">
      <c r="A112">
        <v>461</v>
      </c>
      <c r="B112">
        <v>2009</v>
      </c>
      <c r="C112" t="s">
        <v>1502</v>
      </c>
      <c r="D112">
        <v>0.66799999999999993</v>
      </c>
      <c r="E112">
        <v>32.4</v>
      </c>
      <c r="F112">
        <v>36.421871899459823</v>
      </c>
      <c r="G112" t="s">
        <v>1894</v>
      </c>
      <c r="H112" t="s">
        <v>1897</v>
      </c>
      <c r="K112">
        <f>F112*('CPI USA'!$E$12)*('CPI USA'!$B$80/'CPI USA'!$B$74)</f>
        <v>51.178923708462705</v>
      </c>
    </row>
    <row r="113" spans="1:11">
      <c r="A113">
        <v>461</v>
      </c>
      <c r="B113">
        <v>2009</v>
      </c>
      <c r="C113" t="s">
        <v>1502</v>
      </c>
      <c r="D113">
        <v>0.83099999999999996</v>
      </c>
      <c r="E113">
        <v>24.3</v>
      </c>
      <c r="F113">
        <v>27.316403924594866</v>
      </c>
      <c r="G113" t="s">
        <v>1894</v>
      </c>
      <c r="H113" t="s">
        <v>1895</v>
      </c>
      <c r="K113">
        <f>F113*('CPI USA'!$E$12)*('CPI USA'!$B$80/'CPI USA'!$B$74)</f>
        <v>38.384192781347025</v>
      </c>
    </row>
    <row r="114" spans="1:11">
      <c r="A114">
        <v>461</v>
      </c>
      <c r="B114">
        <v>2009</v>
      </c>
      <c r="C114" t="s">
        <v>1502</v>
      </c>
      <c r="D114">
        <v>0.82900000000000007</v>
      </c>
      <c r="E114">
        <v>26.8</v>
      </c>
      <c r="F114">
        <v>30.126733546466767</v>
      </c>
      <c r="G114" t="s">
        <v>1894</v>
      </c>
      <c r="H114" t="s">
        <v>1896</v>
      </c>
      <c r="K114">
        <f>F114*('CPI USA'!$E$12)*('CPI USA'!$B$80/'CPI USA'!$B$74)</f>
        <v>42.33318380823458</v>
      </c>
    </row>
    <row r="115" spans="1:11">
      <c r="A115">
        <v>461</v>
      </c>
      <c r="B115">
        <v>2009</v>
      </c>
      <c r="C115" t="s">
        <v>1502</v>
      </c>
      <c r="D115">
        <v>0.76200000000000001</v>
      </c>
      <c r="E115">
        <v>39.700000000000003</v>
      </c>
      <c r="F115">
        <v>44.62803439532577</v>
      </c>
      <c r="G115" t="s">
        <v>1894</v>
      </c>
      <c r="H115" t="s">
        <v>1897</v>
      </c>
      <c r="K115">
        <f>F115*('CPI USA'!$E$12)*('CPI USA'!$B$80/'CPI USA'!$B$74)</f>
        <v>62.709977506974361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90"/>
  <sheetViews>
    <sheetView workbookViewId="0">
      <selection activeCell="D5" sqref="D5"/>
    </sheetView>
  </sheetViews>
  <sheetFormatPr baseColWidth="10" defaultColWidth="8.83203125" defaultRowHeight="13"/>
  <cols>
    <col min="4" max="4" width="13.1640625" customWidth="1"/>
  </cols>
  <sheetData>
    <row r="1" spans="1:10">
      <c r="A1" t="s">
        <v>1844</v>
      </c>
    </row>
    <row r="2" spans="1:10">
      <c r="A2" t="s">
        <v>1816</v>
      </c>
      <c r="B2" t="s">
        <v>6</v>
      </c>
      <c r="C2" t="s">
        <v>1825</v>
      </c>
      <c r="D2" t="s">
        <v>1786</v>
      </c>
      <c r="E2" t="s">
        <v>1845</v>
      </c>
      <c r="F2" t="s">
        <v>1823</v>
      </c>
      <c r="G2" t="s">
        <v>1818</v>
      </c>
      <c r="H2" t="s">
        <v>1826</v>
      </c>
      <c r="J2" t="s">
        <v>1942</v>
      </c>
    </row>
    <row r="3" spans="1:10">
      <c r="A3">
        <v>347</v>
      </c>
      <c r="B3">
        <v>2001</v>
      </c>
      <c r="C3" t="s">
        <v>1502</v>
      </c>
      <c r="D3">
        <v>0.02</v>
      </c>
      <c r="E3">
        <v>-1</v>
      </c>
      <c r="F3">
        <v>-1.3352101610580069</v>
      </c>
      <c r="G3" t="s">
        <v>1530</v>
      </c>
      <c r="H3" t="s">
        <v>1846</v>
      </c>
      <c r="J3">
        <f>F3*'CPI USA'!$E$12*('CPI USA'!$B$80/'CPI USA'!$B$74)</f>
        <v>-1.8761973342881755</v>
      </c>
    </row>
    <row r="4" spans="1:10">
      <c r="A4">
        <v>347</v>
      </c>
      <c r="B4">
        <v>2004</v>
      </c>
      <c r="C4" t="s">
        <v>1502</v>
      </c>
      <c r="D4">
        <v>0.03</v>
      </c>
      <c r="E4">
        <v>0</v>
      </c>
      <c r="F4">
        <v>0</v>
      </c>
      <c r="G4" t="s">
        <v>1530</v>
      </c>
      <c r="H4" t="s">
        <v>1846</v>
      </c>
      <c r="J4">
        <f>F4*'CPI USA'!$E$12*('CPI USA'!$B$80/'CPI USA'!$B$74)</f>
        <v>0</v>
      </c>
    </row>
    <row r="5" spans="1:10">
      <c r="A5">
        <v>347</v>
      </c>
      <c r="B5">
        <v>2005</v>
      </c>
      <c r="C5" t="s">
        <v>1502</v>
      </c>
      <c r="D5">
        <v>3.5000000000000003E-2</v>
      </c>
      <c r="E5">
        <v>0</v>
      </c>
      <c r="F5">
        <v>0</v>
      </c>
      <c r="G5" t="s">
        <v>1530</v>
      </c>
      <c r="H5" t="s">
        <v>1846</v>
      </c>
      <c r="J5">
        <f>F5*'CPI USA'!$E$12*('CPI USA'!$B$80/'CPI USA'!$B$74)</f>
        <v>0</v>
      </c>
    </row>
    <row r="6" spans="1:10">
      <c r="A6">
        <v>347</v>
      </c>
      <c r="B6">
        <v>2006</v>
      </c>
      <c r="C6" t="s">
        <v>1502</v>
      </c>
      <c r="D6">
        <v>4.7E-2</v>
      </c>
      <c r="E6">
        <v>2</v>
      </c>
      <c r="F6">
        <v>2.4086453289240581</v>
      </c>
      <c r="G6" t="s">
        <v>1530</v>
      </c>
      <c r="H6" t="s">
        <v>1846</v>
      </c>
      <c r="J6">
        <f>F6*'CPI USA'!$E$12*('CPI USA'!$B$80/'CPI USA'!$B$74)</f>
        <v>3.3845562872230541</v>
      </c>
    </row>
    <row r="7" spans="1:10">
      <c r="A7">
        <v>347</v>
      </c>
      <c r="B7">
        <v>2007</v>
      </c>
      <c r="C7" t="s">
        <v>1502</v>
      </c>
      <c r="D7">
        <v>4.9000000000000002E-2</v>
      </c>
      <c r="E7">
        <v>5</v>
      </c>
      <c r="F7">
        <v>5.8840161569532601</v>
      </c>
      <c r="G7" t="s">
        <v>1530</v>
      </c>
      <c r="H7" t="s">
        <v>1846</v>
      </c>
      <c r="J7">
        <f>F7*'CPI USA'!$E$12*('CPI USA'!$B$80/'CPI USA'!$B$74)</f>
        <v>8.2680433017650312</v>
      </c>
    </row>
    <row r="8" spans="1:10">
      <c r="A8">
        <v>347</v>
      </c>
      <c r="B8">
        <v>2008</v>
      </c>
      <c r="C8" t="s">
        <v>1502</v>
      </c>
      <c r="D8">
        <v>5.5E-2</v>
      </c>
      <c r="E8">
        <v>6</v>
      </c>
      <c r="F8">
        <v>6.8116232464929869</v>
      </c>
      <c r="G8" t="s">
        <v>1530</v>
      </c>
      <c r="H8" t="s">
        <v>1846</v>
      </c>
      <c r="J8">
        <f>F8*'CPI USA'!$E$12*('CPI USA'!$B$80/'CPI USA'!$B$74)</f>
        <v>9.5714890059845033</v>
      </c>
    </row>
    <row r="9" spans="1:10">
      <c r="A9">
        <v>347</v>
      </c>
      <c r="B9">
        <v>2009</v>
      </c>
      <c r="C9" t="s">
        <v>1502</v>
      </c>
      <c r="D9">
        <v>7.0999999999999994E-2</v>
      </c>
      <c r="E9">
        <v>3</v>
      </c>
      <c r="F9">
        <v>3.3723955462462798</v>
      </c>
      <c r="G9" t="s">
        <v>1530</v>
      </c>
      <c r="H9" t="s">
        <v>1846</v>
      </c>
      <c r="J9">
        <f>F9*'CPI USA'!$E$12*('CPI USA'!$B$80/'CPI USA'!$B$74)</f>
        <v>4.7387892322650647</v>
      </c>
    </row>
    <row r="10" spans="1:10">
      <c r="A10">
        <v>347</v>
      </c>
      <c r="B10">
        <v>2010</v>
      </c>
      <c r="C10" t="s">
        <v>1502</v>
      </c>
      <c r="D10">
        <v>7.2999999999999995E-2</v>
      </c>
      <c r="E10">
        <v>2</v>
      </c>
      <c r="F10">
        <v>2.2023758099352051</v>
      </c>
      <c r="G10" t="s">
        <v>1530</v>
      </c>
      <c r="H10" t="s">
        <v>1846</v>
      </c>
      <c r="J10">
        <f>F10*'CPI USA'!$E$12*('CPI USA'!$B$80/'CPI USA'!$B$74)</f>
        <v>3.0947125360602157</v>
      </c>
    </row>
    <row r="11" spans="1:10">
      <c r="A11">
        <v>347</v>
      </c>
      <c r="B11">
        <v>2011</v>
      </c>
      <c r="C11" t="s">
        <v>1502</v>
      </c>
      <c r="D11">
        <v>8.7999999999999995E-2</v>
      </c>
      <c r="E11">
        <v>3</v>
      </c>
      <c r="F11">
        <v>3.2042526448098885</v>
      </c>
      <c r="G11" t="s">
        <v>1530</v>
      </c>
      <c r="H11" t="s">
        <v>1846</v>
      </c>
      <c r="J11">
        <f>F11*'CPI USA'!$E$12*('CPI USA'!$B$80/'CPI USA'!$B$74)</f>
        <v>4.5025198623521954</v>
      </c>
    </row>
    <row r="12" spans="1:10">
      <c r="A12">
        <v>347</v>
      </c>
      <c r="B12">
        <v>2012</v>
      </c>
      <c r="C12" t="s">
        <v>1502</v>
      </c>
      <c r="D12">
        <v>0.08</v>
      </c>
      <c r="E12">
        <v>5</v>
      </c>
      <c r="F12">
        <v>5.2030819471374636</v>
      </c>
      <c r="G12" t="s">
        <v>1530</v>
      </c>
      <c r="H12" t="s">
        <v>1846</v>
      </c>
      <c r="J12">
        <f>F12*'CPI USA'!$E$12*('CPI USA'!$B$80/'CPI USA'!$B$74)</f>
        <v>7.3112149412995207</v>
      </c>
    </row>
    <row r="13" spans="1:10">
      <c r="A13">
        <v>347</v>
      </c>
      <c r="B13">
        <v>2006</v>
      </c>
      <c r="C13" t="s">
        <v>1502</v>
      </c>
      <c r="D13">
        <v>4.0000000000000001E-3</v>
      </c>
      <c r="E13">
        <v>-17</v>
      </c>
      <c r="F13">
        <v>-20.473485295854495</v>
      </c>
      <c r="G13" t="s">
        <v>1530</v>
      </c>
      <c r="H13" t="s">
        <v>1847</v>
      </c>
      <c r="J13">
        <f>F13*'CPI USA'!$E$12*('CPI USA'!$B$80/'CPI USA'!$B$74)</f>
        <v>-28.768728441395961</v>
      </c>
    </row>
    <row r="14" spans="1:10">
      <c r="A14">
        <v>347</v>
      </c>
      <c r="B14">
        <v>2007</v>
      </c>
      <c r="C14" t="s">
        <v>1502</v>
      </c>
      <c r="D14">
        <v>5.0000000000000001E-3</v>
      </c>
      <c r="E14">
        <v>-6</v>
      </c>
      <c r="F14">
        <v>-7.0608193883439121</v>
      </c>
      <c r="G14" t="s">
        <v>1530</v>
      </c>
      <c r="H14" t="s">
        <v>1847</v>
      </c>
      <c r="J14">
        <f>F14*'CPI USA'!$E$12*('CPI USA'!$B$80/'CPI USA'!$B$74)</f>
        <v>-9.9216519621180375</v>
      </c>
    </row>
    <row r="15" spans="1:10">
      <c r="A15">
        <v>347</v>
      </c>
      <c r="B15">
        <v>2008</v>
      </c>
      <c r="C15" t="s">
        <v>1502</v>
      </c>
      <c r="D15">
        <v>7.0000000000000001E-3</v>
      </c>
      <c r="E15">
        <v>-16</v>
      </c>
      <c r="F15">
        <v>-18.164328657314631</v>
      </c>
      <c r="G15" t="s">
        <v>1530</v>
      </c>
      <c r="H15" t="s">
        <v>1847</v>
      </c>
      <c r="J15">
        <f>F15*'CPI USA'!$E$12*('CPI USA'!$B$80/'CPI USA'!$B$74)</f>
        <v>-25.52397068262534</v>
      </c>
    </row>
    <row r="16" spans="1:10">
      <c r="A16">
        <v>347</v>
      </c>
      <c r="B16">
        <v>2009</v>
      </c>
      <c r="C16" t="s">
        <v>1502</v>
      </c>
      <c r="D16">
        <v>1.0999999999999999E-2</v>
      </c>
      <c r="E16">
        <v>-5</v>
      </c>
      <c r="F16">
        <v>-5.6206592437438001</v>
      </c>
      <c r="G16" t="s">
        <v>1530</v>
      </c>
      <c r="H16" t="s">
        <v>1847</v>
      </c>
      <c r="J16">
        <f>F16*'CPI USA'!$E$12*('CPI USA'!$B$80/'CPI USA'!$B$74)</f>
        <v>-7.8979820537751095</v>
      </c>
    </row>
    <row r="17" spans="1:10">
      <c r="A17">
        <v>347</v>
      </c>
      <c r="B17">
        <v>2010</v>
      </c>
      <c r="C17" t="s">
        <v>1502</v>
      </c>
      <c r="D17">
        <v>2.1000000000000001E-2</v>
      </c>
      <c r="E17">
        <v>-5</v>
      </c>
      <c r="F17">
        <v>-5.5059395248380127</v>
      </c>
      <c r="G17" t="s">
        <v>1530</v>
      </c>
      <c r="H17" t="s">
        <v>1847</v>
      </c>
      <c r="J17">
        <f>F17*'CPI USA'!$E$12*('CPI USA'!$B$80/'CPI USA'!$B$74)</f>
        <v>-7.7367813401505394</v>
      </c>
    </row>
    <row r="18" spans="1:10">
      <c r="A18">
        <v>347</v>
      </c>
      <c r="B18">
        <v>2011</v>
      </c>
      <c r="C18" t="s">
        <v>1502</v>
      </c>
      <c r="D18">
        <v>3.3000000000000002E-2</v>
      </c>
      <c r="E18">
        <v>-5</v>
      </c>
      <c r="F18">
        <v>-5.3404210746831469</v>
      </c>
      <c r="G18" t="s">
        <v>1530</v>
      </c>
      <c r="H18" t="s">
        <v>1847</v>
      </c>
      <c r="J18">
        <f>F18*'CPI USA'!$E$12*('CPI USA'!$B$80/'CPI USA'!$B$74)</f>
        <v>-7.5041997705869905</v>
      </c>
    </row>
    <row r="19" spans="1:10">
      <c r="A19">
        <v>347</v>
      </c>
      <c r="B19">
        <v>2012</v>
      </c>
      <c r="C19" t="s">
        <v>1502</v>
      </c>
      <c r="D19">
        <v>4.4999999999999998E-2</v>
      </c>
      <c r="E19">
        <v>-2</v>
      </c>
      <c r="F19">
        <v>-2.0812327788549854</v>
      </c>
      <c r="G19" t="s">
        <v>1530</v>
      </c>
      <c r="H19" t="s">
        <v>1847</v>
      </c>
      <c r="J19">
        <f>F19*'CPI USA'!$E$12*('CPI USA'!$B$80/'CPI USA'!$B$74)</f>
        <v>-2.9244859765198084</v>
      </c>
    </row>
    <row r="20" spans="1:10">
      <c r="A20">
        <v>347</v>
      </c>
      <c r="B20">
        <v>2013</v>
      </c>
      <c r="C20" t="s">
        <v>1502</v>
      </c>
      <c r="D20">
        <v>0.1</v>
      </c>
      <c r="E20">
        <v>8.4</v>
      </c>
      <c r="F20">
        <v>8.611118930330754</v>
      </c>
      <c r="G20" t="s">
        <v>1530</v>
      </c>
      <c r="H20" t="s">
        <v>1848</v>
      </c>
      <c r="J20">
        <f>F20*'CPI USA'!$E$12*('CPI USA'!$B$80/'CPI USA'!$B$74)</f>
        <v>12.10008645344867</v>
      </c>
    </row>
    <row r="21" spans="1:10">
      <c r="A21">
        <v>347</v>
      </c>
      <c r="B21">
        <v>2013</v>
      </c>
      <c r="C21" t="s">
        <v>1502</v>
      </c>
      <c r="D21">
        <v>0.2</v>
      </c>
      <c r="E21">
        <v>13.9</v>
      </c>
      <c r="F21">
        <v>14.249351563285414</v>
      </c>
      <c r="G21" t="s">
        <v>1530</v>
      </c>
      <c r="H21" t="s">
        <v>1848</v>
      </c>
      <c r="J21">
        <f>F21*'CPI USA'!$E$12*('CPI USA'!$B$80/'CPI USA'!$B$74)</f>
        <v>20.02276210749244</v>
      </c>
    </row>
    <row r="22" spans="1:10">
      <c r="A22">
        <v>347</v>
      </c>
      <c r="B22">
        <v>2013</v>
      </c>
      <c r="C22" t="s">
        <v>1502</v>
      </c>
      <c r="D22">
        <v>0.3</v>
      </c>
      <c r="E22">
        <v>16.7</v>
      </c>
      <c r="F22">
        <v>17.119724540062332</v>
      </c>
      <c r="G22" t="s">
        <v>1530</v>
      </c>
      <c r="H22" t="s">
        <v>1848</v>
      </c>
      <c r="J22">
        <f>F22*'CPI USA'!$E$12*('CPI USA'!$B$80/'CPI USA'!$B$74)</f>
        <v>24.056124258642001</v>
      </c>
    </row>
    <row r="23" spans="1:10">
      <c r="A23">
        <v>347</v>
      </c>
      <c r="B23">
        <v>2013</v>
      </c>
      <c r="C23" t="s">
        <v>1502</v>
      </c>
      <c r="D23">
        <v>0.1</v>
      </c>
      <c r="E23">
        <v>10.199999999999999</v>
      </c>
      <c r="F23">
        <v>10.456358701115914</v>
      </c>
      <c r="G23" t="s">
        <v>1530</v>
      </c>
      <c r="H23" t="s">
        <v>1850</v>
      </c>
      <c r="J23">
        <f>F23*'CPI USA'!$E$12*('CPI USA'!$B$80/'CPI USA'!$B$74)</f>
        <v>14.692962122044813</v>
      </c>
    </row>
    <row r="24" spans="1:10">
      <c r="A24">
        <v>347</v>
      </c>
      <c r="B24">
        <v>2013</v>
      </c>
      <c r="C24" t="s">
        <v>1502</v>
      </c>
      <c r="D24">
        <v>0.2</v>
      </c>
      <c r="E24">
        <v>19.399999999999999</v>
      </c>
      <c r="F24">
        <v>19.887584196240073</v>
      </c>
      <c r="G24" t="s">
        <v>1530</v>
      </c>
      <c r="H24" t="s">
        <v>1850</v>
      </c>
      <c r="J24">
        <f>F24*'CPI USA'!$E$12*('CPI USA'!$B$80/'CPI USA'!$B$74)</f>
        <v>27.945437761536216</v>
      </c>
    </row>
    <row r="25" spans="1:10">
      <c r="A25">
        <v>347</v>
      </c>
      <c r="B25">
        <v>2013</v>
      </c>
      <c r="C25" t="s">
        <v>1502</v>
      </c>
      <c r="D25">
        <v>0.3</v>
      </c>
      <c r="E25">
        <v>24.1</v>
      </c>
      <c r="F25">
        <v>24.705710264401329</v>
      </c>
      <c r="G25" t="s">
        <v>1530</v>
      </c>
      <c r="H25" t="s">
        <v>1850</v>
      </c>
      <c r="J25">
        <f>F25*'CPI USA'!$E$12*('CPI USA'!$B$80/'CPI USA'!$B$74)</f>
        <v>34.715724229537258</v>
      </c>
    </row>
    <row r="26" spans="1:10">
      <c r="A26">
        <v>355</v>
      </c>
      <c r="B26">
        <v>2013</v>
      </c>
      <c r="C26" t="s">
        <v>1502</v>
      </c>
      <c r="D26">
        <v>0.05</v>
      </c>
      <c r="E26">
        <v>15.2</v>
      </c>
      <c r="F26">
        <v>15.582024731074696</v>
      </c>
      <c r="G26" t="s">
        <v>1530</v>
      </c>
      <c r="H26" t="s">
        <v>1851</v>
      </c>
      <c r="J26">
        <f>F26*'CPI USA'!$E$12*('CPI USA'!$B$80/'CPI USA'!$B$74)</f>
        <v>21.895394534811878</v>
      </c>
    </row>
    <row r="27" spans="1:10">
      <c r="A27">
        <v>355</v>
      </c>
      <c r="B27">
        <v>2013</v>
      </c>
      <c r="C27" t="s">
        <v>1502</v>
      </c>
      <c r="D27">
        <v>0.1</v>
      </c>
      <c r="E27">
        <v>18.7</v>
      </c>
      <c r="F27">
        <v>19.169990952045843</v>
      </c>
      <c r="G27" t="s">
        <v>1530</v>
      </c>
      <c r="H27" t="s">
        <v>1851</v>
      </c>
      <c r="J27">
        <f>F27*'CPI USA'!$E$12*('CPI USA'!$B$80/'CPI USA'!$B$74)</f>
        <v>26.937097223748822</v>
      </c>
    </row>
    <row r="28" spans="1:10">
      <c r="A28">
        <v>355</v>
      </c>
      <c r="B28">
        <v>2013</v>
      </c>
      <c r="C28" t="s">
        <v>1502</v>
      </c>
      <c r="D28">
        <v>0.15</v>
      </c>
      <c r="E28">
        <v>21.8</v>
      </c>
      <c r="F28">
        <v>22.347903890620291</v>
      </c>
      <c r="G28" t="s">
        <v>1530</v>
      </c>
      <c r="H28" t="s">
        <v>1851</v>
      </c>
      <c r="J28">
        <f>F28*'CPI USA'!$E$12*('CPI USA'!$B$80/'CPI USA'!$B$74)</f>
        <v>31.402605319664406</v>
      </c>
    </row>
    <row r="29" spans="1:10">
      <c r="A29">
        <v>355</v>
      </c>
      <c r="B29">
        <v>2013</v>
      </c>
      <c r="C29" t="s">
        <v>1502</v>
      </c>
      <c r="D29">
        <v>0.2</v>
      </c>
      <c r="E29">
        <v>24.7</v>
      </c>
      <c r="F29">
        <v>25.320790187996383</v>
      </c>
      <c r="G29" t="s">
        <v>1530</v>
      </c>
      <c r="H29" t="s">
        <v>1851</v>
      </c>
      <c r="J29">
        <f>F29*'CPI USA'!$E$12*('CPI USA'!$B$80/'CPI USA'!$B$74)</f>
        <v>35.580016119069306</v>
      </c>
    </row>
    <row r="30" spans="1:10">
      <c r="A30">
        <v>355</v>
      </c>
      <c r="B30">
        <v>2013</v>
      </c>
      <c r="C30" t="s">
        <v>1502</v>
      </c>
      <c r="D30">
        <v>0.25</v>
      </c>
      <c r="E30">
        <v>26.8</v>
      </c>
      <c r="F30">
        <v>27.473569920579074</v>
      </c>
      <c r="G30" t="s">
        <v>1530</v>
      </c>
      <c r="H30" t="s">
        <v>1851</v>
      </c>
      <c r="J30">
        <f>F30*'CPI USA'!$E$12*('CPI USA'!$B$80/'CPI USA'!$B$74)</f>
        <v>38.605037732431477</v>
      </c>
    </row>
    <row r="31" spans="1:10">
      <c r="A31">
        <v>355</v>
      </c>
      <c r="B31">
        <v>2013</v>
      </c>
      <c r="C31" t="s">
        <v>1502</v>
      </c>
      <c r="D31">
        <v>0.3</v>
      </c>
      <c r="E31">
        <v>31.7</v>
      </c>
      <c r="F31">
        <v>32.496722629938674</v>
      </c>
      <c r="G31" t="s">
        <v>1530</v>
      </c>
      <c r="H31" t="s">
        <v>1851</v>
      </c>
      <c r="J31">
        <f>F31*'CPI USA'!$E$12*('CPI USA'!$B$80/'CPI USA'!$B$74)</f>
        <v>45.663421496943194</v>
      </c>
    </row>
    <row r="32" spans="1:10">
      <c r="A32">
        <v>355</v>
      </c>
      <c r="B32">
        <v>2013</v>
      </c>
      <c r="C32" t="s">
        <v>1502</v>
      </c>
      <c r="D32">
        <v>0.35</v>
      </c>
      <c r="E32">
        <v>36.700000000000003</v>
      </c>
      <c r="F32">
        <v>37.62238865989746</v>
      </c>
      <c r="G32" t="s">
        <v>1530</v>
      </c>
      <c r="H32" t="s">
        <v>1851</v>
      </c>
      <c r="J32">
        <f>F32*'CPI USA'!$E$12*('CPI USA'!$B$80/'CPI USA'!$B$74)</f>
        <v>52.865853909710268</v>
      </c>
    </row>
    <row r="33" spans="1:10">
      <c r="A33">
        <v>355</v>
      </c>
      <c r="B33">
        <v>2013</v>
      </c>
      <c r="C33" t="s">
        <v>1502</v>
      </c>
      <c r="D33">
        <v>0.4</v>
      </c>
      <c r="E33">
        <v>44.7</v>
      </c>
      <c r="F33">
        <v>45.823454307831511</v>
      </c>
      <c r="G33" t="s">
        <v>1530</v>
      </c>
      <c r="H33" t="s">
        <v>1851</v>
      </c>
      <c r="J33">
        <f>F33*'CPI USA'!$E$12*('CPI USA'!$B$80/'CPI USA'!$B$74)</f>
        <v>64.389745770137566</v>
      </c>
    </row>
    <row r="34" spans="1:10">
      <c r="A34">
        <v>355</v>
      </c>
      <c r="B34">
        <v>2013</v>
      </c>
      <c r="C34" t="s">
        <v>1502</v>
      </c>
      <c r="D34">
        <v>0.05</v>
      </c>
      <c r="E34">
        <v>13.5</v>
      </c>
      <c r="F34">
        <v>13.839298280888711</v>
      </c>
      <c r="G34" t="s">
        <v>1530</v>
      </c>
      <c r="H34" t="s">
        <v>1852</v>
      </c>
      <c r="J34">
        <f>F34*'CPI USA'!$E$12*('CPI USA'!$B$80/'CPI USA'!$B$74)</f>
        <v>19.446567514471077</v>
      </c>
    </row>
    <row r="35" spans="1:10">
      <c r="A35">
        <v>355</v>
      </c>
      <c r="B35">
        <v>2013</v>
      </c>
      <c r="C35" t="s">
        <v>1502</v>
      </c>
      <c r="D35">
        <v>0.1</v>
      </c>
      <c r="E35">
        <v>27.4</v>
      </c>
      <c r="F35">
        <v>28.088649844174125</v>
      </c>
      <c r="G35" t="s">
        <v>1530</v>
      </c>
      <c r="H35" t="s">
        <v>1852</v>
      </c>
      <c r="J35">
        <f>F35*'CPI USA'!$E$12*('CPI USA'!$B$80/'CPI USA'!$B$74)</f>
        <v>39.469329621963517</v>
      </c>
    </row>
    <row r="36" spans="1:10">
      <c r="A36">
        <v>355</v>
      </c>
      <c r="B36">
        <v>2013</v>
      </c>
      <c r="C36" t="s">
        <v>1502</v>
      </c>
      <c r="D36">
        <v>0.15</v>
      </c>
      <c r="E36">
        <v>33.4</v>
      </c>
      <c r="F36">
        <v>34.239449080124665</v>
      </c>
      <c r="G36" t="s">
        <v>1530</v>
      </c>
      <c r="H36" t="s">
        <v>1852</v>
      </c>
      <c r="J36">
        <f>F36*'CPI USA'!$E$12*('CPI USA'!$B$80/'CPI USA'!$B$74)</f>
        <v>48.112248517284002</v>
      </c>
    </row>
    <row r="37" spans="1:10">
      <c r="A37">
        <v>355</v>
      </c>
      <c r="B37">
        <v>2013</v>
      </c>
      <c r="C37" t="s">
        <v>1502</v>
      </c>
      <c r="D37">
        <v>0.2</v>
      </c>
      <c r="E37">
        <v>49.2</v>
      </c>
      <c r="F37">
        <v>50.436553734794416</v>
      </c>
      <c r="G37" t="s">
        <v>1530</v>
      </c>
      <c r="H37" t="s">
        <v>1852</v>
      </c>
      <c r="J37">
        <f>F37*'CPI USA'!$E$12*('CPI USA'!$B$80/'CPI USA'!$B$74)</f>
        <v>70.871934941627927</v>
      </c>
    </row>
    <row r="38" spans="1:10">
      <c r="A38">
        <v>355</v>
      </c>
      <c r="B38">
        <v>2013</v>
      </c>
      <c r="C38" t="s">
        <v>1502</v>
      </c>
      <c r="D38">
        <v>0.25</v>
      </c>
      <c r="E38">
        <v>100</v>
      </c>
      <c r="F38">
        <v>102.51332059917564</v>
      </c>
      <c r="G38" t="s">
        <v>1530</v>
      </c>
      <c r="H38" t="s">
        <v>1852</v>
      </c>
      <c r="J38">
        <f>F38*'CPI USA'!$E$12*('CPI USA'!$B$80/'CPI USA'!$B$74)</f>
        <v>144.04864825534133</v>
      </c>
    </row>
    <row r="39" spans="1:10">
      <c r="A39">
        <v>457</v>
      </c>
      <c r="B39">
        <v>2015</v>
      </c>
      <c r="C39" t="s">
        <v>1502</v>
      </c>
      <c r="D39">
        <v>1E-3</v>
      </c>
      <c r="E39">
        <v>2.7</v>
      </c>
      <c r="F39">
        <v>2.7531900000000005</v>
      </c>
      <c r="G39" t="s">
        <v>1438</v>
      </c>
      <c r="H39" t="s">
        <v>1849</v>
      </c>
      <c r="J39">
        <f>F39*'CPI USA'!$E$12*('CPI USA'!$B$80/'CPI USA'!$B$74)</f>
        <v>3.8687001413288766</v>
      </c>
    </row>
    <row r="40" spans="1:10">
      <c r="A40">
        <v>457</v>
      </c>
      <c r="B40">
        <v>2015</v>
      </c>
      <c r="C40" t="s">
        <v>1502</v>
      </c>
      <c r="D40">
        <v>2E-3</v>
      </c>
      <c r="E40">
        <v>-6.7</v>
      </c>
      <c r="F40">
        <v>-6.8319900000000002</v>
      </c>
      <c r="G40" t="s">
        <v>1438</v>
      </c>
      <c r="H40" t="s">
        <v>1849</v>
      </c>
      <c r="J40">
        <f>F40*'CPI USA'!$E$12*('CPI USA'!$B$80/'CPI USA'!$B$74)</f>
        <v>-9.6001077581123972</v>
      </c>
    </row>
    <row r="41" spans="1:10">
      <c r="A41">
        <v>457</v>
      </c>
      <c r="B41">
        <v>2015</v>
      </c>
      <c r="C41" t="s">
        <v>1502</v>
      </c>
      <c r="D41">
        <v>2E-3</v>
      </c>
      <c r="E41">
        <v>-1.3</v>
      </c>
      <c r="F41">
        <v>-1.3256100000000002</v>
      </c>
      <c r="G41" t="s">
        <v>1438</v>
      </c>
      <c r="H41" t="s">
        <v>1849</v>
      </c>
      <c r="J41">
        <f>F41*'CPI USA'!$E$12*('CPI USA'!$B$80/'CPI USA'!$B$74)</f>
        <v>-1.862707475454644</v>
      </c>
    </row>
    <row r="42" spans="1:10">
      <c r="A42">
        <v>457</v>
      </c>
      <c r="B42">
        <v>2015</v>
      </c>
      <c r="C42" t="s">
        <v>1502</v>
      </c>
      <c r="D42">
        <v>8.0000000000000002E-3</v>
      </c>
      <c r="E42">
        <v>-3.4</v>
      </c>
      <c r="F42">
        <v>-3.46698</v>
      </c>
      <c r="G42" t="s">
        <v>1438</v>
      </c>
      <c r="H42" t="s">
        <v>1849</v>
      </c>
      <c r="J42">
        <f>F42*'CPI USA'!$E$12*('CPI USA'!$B$80/'CPI USA'!$B$74)</f>
        <v>-4.8716964742659918</v>
      </c>
    </row>
    <row r="43" spans="1:10">
      <c r="A43">
        <v>457</v>
      </c>
      <c r="B43">
        <v>2015</v>
      </c>
      <c r="C43" t="s">
        <v>1502</v>
      </c>
      <c r="D43">
        <v>8.0000000000000002E-3</v>
      </c>
      <c r="E43">
        <v>-1.3</v>
      </c>
      <c r="F43">
        <v>-1.3256100000000002</v>
      </c>
      <c r="G43" t="s">
        <v>1438</v>
      </c>
      <c r="H43" t="s">
        <v>1849</v>
      </c>
      <c r="J43">
        <f>F43*'CPI USA'!$E$12*('CPI USA'!$B$80/'CPI USA'!$B$74)</f>
        <v>-1.862707475454644</v>
      </c>
    </row>
    <row r="44" spans="1:10">
      <c r="A44">
        <v>457</v>
      </c>
      <c r="B44">
        <v>2015</v>
      </c>
      <c r="C44" t="s">
        <v>1502</v>
      </c>
      <c r="D44">
        <v>8.9999999999999993E-3</v>
      </c>
      <c r="E44">
        <v>-9.8000000000000007</v>
      </c>
      <c r="F44">
        <v>-9.9930600000000016</v>
      </c>
      <c r="G44" t="s">
        <v>1438</v>
      </c>
      <c r="H44" t="s">
        <v>1849</v>
      </c>
      <c r="J44">
        <f>F44*'CPI USA'!$E$12*('CPI USA'!$B$80/'CPI USA'!$B$74)</f>
        <v>-14.041948661119626</v>
      </c>
    </row>
    <row r="45" spans="1:10">
      <c r="A45">
        <v>457</v>
      </c>
      <c r="B45">
        <v>2015</v>
      </c>
      <c r="C45" t="s">
        <v>1502</v>
      </c>
      <c r="D45">
        <v>8.9999999999999993E-3</v>
      </c>
      <c r="E45">
        <v>7.1</v>
      </c>
      <c r="F45">
        <v>7.2398699999999998</v>
      </c>
      <c r="G45" t="s">
        <v>1438</v>
      </c>
      <c r="H45" t="s">
        <v>1849</v>
      </c>
      <c r="J45">
        <f>F45*'CPI USA'!$E$12*('CPI USA'!$B$80/'CPI USA'!$B$74)</f>
        <v>10.173248519790748</v>
      </c>
    </row>
    <row r="46" spans="1:10">
      <c r="A46">
        <v>457</v>
      </c>
      <c r="B46">
        <v>2015</v>
      </c>
      <c r="C46" t="s">
        <v>1502</v>
      </c>
      <c r="D46">
        <v>8.9999999999999993E-3</v>
      </c>
      <c r="E46">
        <v>9.4</v>
      </c>
      <c r="F46">
        <v>9.5851800000000011</v>
      </c>
      <c r="G46" t="s">
        <v>1438</v>
      </c>
      <c r="H46" t="s">
        <v>1849</v>
      </c>
      <c r="J46">
        <f>F46*'CPI USA'!$E$12*('CPI USA'!$B$80/'CPI USA'!$B$74)</f>
        <v>13.468807899441272</v>
      </c>
    </row>
    <row r="47" spans="1:10">
      <c r="A47">
        <v>457</v>
      </c>
      <c r="B47">
        <v>2015</v>
      </c>
      <c r="C47" t="s">
        <v>1502</v>
      </c>
      <c r="D47">
        <v>0.01</v>
      </c>
      <c r="E47">
        <v>2.6</v>
      </c>
      <c r="F47">
        <v>2.6512200000000004</v>
      </c>
      <c r="G47" t="s">
        <v>1438</v>
      </c>
      <c r="H47" t="s">
        <v>1849</v>
      </c>
      <c r="J47">
        <f>F47*'CPI USA'!$E$12*('CPI USA'!$B$80/'CPI USA'!$B$74)</f>
        <v>3.725414950909288</v>
      </c>
    </row>
    <row r="48" spans="1:10">
      <c r="A48">
        <v>457</v>
      </c>
      <c r="B48">
        <v>2015</v>
      </c>
      <c r="C48" t="s">
        <v>1502</v>
      </c>
      <c r="D48">
        <v>1.9E-2</v>
      </c>
      <c r="E48">
        <v>-1.3</v>
      </c>
      <c r="F48">
        <v>-1.3256100000000002</v>
      </c>
      <c r="G48" t="s">
        <v>1438</v>
      </c>
      <c r="H48" t="s">
        <v>1849</v>
      </c>
      <c r="J48">
        <f>F48*'CPI USA'!$E$12*('CPI USA'!$B$80/'CPI USA'!$B$74)</f>
        <v>-1.862707475454644</v>
      </c>
    </row>
    <row r="49" spans="1:10">
      <c r="A49">
        <v>457</v>
      </c>
      <c r="B49">
        <v>2015</v>
      </c>
      <c r="C49" t="s">
        <v>1502</v>
      </c>
      <c r="D49">
        <v>0.05</v>
      </c>
      <c r="E49">
        <v>-3.4</v>
      </c>
      <c r="F49">
        <v>-3.46698</v>
      </c>
      <c r="G49" t="s">
        <v>1438</v>
      </c>
      <c r="H49" t="s">
        <v>1849</v>
      </c>
      <c r="J49">
        <f>F49*'CPI USA'!$E$12*('CPI USA'!$B$80/'CPI USA'!$B$74)</f>
        <v>-4.8716964742659918</v>
      </c>
    </row>
    <row r="50" spans="1:10">
      <c r="A50">
        <v>457</v>
      </c>
      <c r="B50">
        <v>2015</v>
      </c>
      <c r="C50" t="s">
        <v>1502</v>
      </c>
      <c r="D50">
        <v>0.05</v>
      </c>
      <c r="E50">
        <v>4.4000000000000004</v>
      </c>
      <c r="F50">
        <v>4.4866800000000007</v>
      </c>
      <c r="G50" t="s">
        <v>1438</v>
      </c>
      <c r="H50" t="s">
        <v>1849</v>
      </c>
      <c r="J50">
        <f>F50*'CPI USA'!$E$12*('CPI USA'!$B$80/'CPI USA'!$B$74)</f>
        <v>6.304548378461873</v>
      </c>
    </row>
    <row r="51" spans="1:10">
      <c r="A51">
        <v>457</v>
      </c>
      <c r="B51">
        <v>2015</v>
      </c>
      <c r="C51" t="s">
        <v>1502</v>
      </c>
      <c r="D51">
        <v>0.05</v>
      </c>
      <c r="E51">
        <v>8.5</v>
      </c>
      <c r="F51">
        <v>8.6674500000000005</v>
      </c>
      <c r="G51" t="s">
        <v>1438</v>
      </c>
      <c r="H51" t="s">
        <v>1849</v>
      </c>
      <c r="J51">
        <f>F51*'CPI USA'!$E$12*('CPI USA'!$B$80/'CPI USA'!$B$74)</f>
        <v>12.179241185664981</v>
      </c>
    </row>
    <row r="52" spans="1:10">
      <c r="A52">
        <v>457</v>
      </c>
      <c r="B52">
        <v>2015</v>
      </c>
      <c r="C52" t="s">
        <v>1502</v>
      </c>
      <c r="D52">
        <v>0.06</v>
      </c>
      <c r="E52">
        <v>2.1</v>
      </c>
      <c r="F52">
        <v>2.1413700000000002</v>
      </c>
      <c r="G52" t="s">
        <v>1438</v>
      </c>
      <c r="H52" t="s">
        <v>1849</v>
      </c>
      <c r="J52">
        <f>F52*'CPI USA'!$E$12*('CPI USA'!$B$80/'CPI USA'!$B$74)</f>
        <v>3.0089889988113478</v>
      </c>
    </row>
    <row r="53" spans="1:10">
      <c r="A53">
        <v>457</v>
      </c>
      <c r="B53">
        <v>2015</v>
      </c>
      <c r="C53" t="s">
        <v>1502</v>
      </c>
      <c r="D53">
        <v>0.06</v>
      </c>
      <c r="E53">
        <v>3</v>
      </c>
      <c r="F53">
        <v>3.0590999999999999</v>
      </c>
      <c r="G53" t="s">
        <v>1438</v>
      </c>
      <c r="H53" t="s">
        <v>1849</v>
      </c>
      <c r="J53">
        <f>F53*'CPI USA'!$E$12*('CPI USA'!$B$80/'CPI USA'!$B$74)</f>
        <v>4.2985557125876399</v>
      </c>
    </row>
    <row r="54" spans="1:10">
      <c r="A54">
        <v>457</v>
      </c>
      <c r="B54">
        <v>2015</v>
      </c>
      <c r="C54" t="s">
        <v>1502</v>
      </c>
      <c r="D54">
        <v>0.06</v>
      </c>
      <c r="E54">
        <v>9.1999999999999993</v>
      </c>
      <c r="F54">
        <v>9.38124</v>
      </c>
      <c r="G54" t="s">
        <v>1438</v>
      </c>
      <c r="H54" t="s">
        <v>1849</v>
      </c>
      <c r="J54">
        <f>F54*'CPI USA'!$E$12*('CPI USA'!$B$80/'CPI USA'!$B$74)</f>
        <v>13.182237518602095</v>
      </c>
    </row>
    <row r="55" spans="1:10">
      <c r="A55">
        <v>457</v>
      </c>
      <c r="B55">
        <v>2015</v>
      </c>
      <c r="C55" t="s">
        <v>1502</v>
      </c>
      <c r="D55">
        <v>7.0000000000000007E-2</v>
      </c>
      <c r="E55">
        <v>7</v>
      </c>
      <c r="F55">
        <v>7.1379000000000001</v>
      </c>
      <c r="G55" t="s">
        <v>1438</v>
      </c>
      <c r="H55" t="s">
        <v>1849</v>
      </c>
      <c r="J55">
        <f>F55*'CPI USA'!$E$12*('CPI USA'!$B$80/'CPI USA'!$B$74)</f>
        <v>10.029963329371158</v>
      </c>
    </row>
    <row r="56" spans="1:10">
      <c r="A56">
        <v>457</v>
      </c>
      <c r="B56">
        <v>2015</v>
      </c>
      <c r="C56" t="s">
        <v>1502</v>
      </c>
      <c r="D56">
        <v>7.2000000000000008E-2</v>
      </c>
      <c r="E56">
        <v>1.1000000000000001</v>
      </c>
      <c r="F56">
        <v>1.1216700000000002</v>
      </c>
      <c r="G56" t="s">
        <v>1438</v>
      </c>
      <c r="H56" t="s">
        <v>1849</v>
      </c>
      <c r="J56">
        <f>F56*'CPI USA'!$E$12*('CPI USA'!$B$80/'CPI USA'!$B$74)</f>
        <v>1.5761370946154682</v>
      </c>
    </row>
    <row r="57" spans="1:10">
      <c r="A57">
        <v>457</v>
      </c>
      <c r="B57">
        <v>2015</v>
      </c>
      <c r="C57" t="s">
        <v>1502</v>
      </c>
      <c r="D57">
        <v>0.09</v>
      </c>
      <c r="E57">
        <v>1.2</v>
      </c>
      <c r="F57">
        <v>1.2236400000000001</v>
      </c>
      <c r="G57" t="s">
        <v>1438</v>
      </c>
      <c r="H57" t="s">
        <v>1849</v>
      </c>
      <c r="J57">
        <f>F57*'CPI USA'!$E$12*('CPI USA'!$B$80/'CPI USA'!$B$74)</f>
        <v>1.719422285035056</v>
      </c>
    </row>
    <row r="58" spans="1:10">
      <c r="A58">
        <v>457</v>
      </c>
      <c r="B58">
        <v>2015</v>
      </c>
      <c r="C58" t="s">
        <v>1502</v>
      </c>
      <c r="D58">
        <v>0.1</v>
      </c>
      <c r="E58">
        <v>7.5</v>
      </c>
      <c r="F58">
        <v>7.6477500000000003</v>
      </c>
      <c r="G58" t="s">
        <v>1438</v>
      </c>
      <c r="H58" t="s">
        <v>1849</v>
      </c>
      <c r="J58">
        <f>F58*'CPI USA'!$E$12*('CPI USA'!$B$80/'CPI USA'!$B$74)</f>
        <v>10.746389281469101</v>
      </c>
    </row>
    <row r="59" spans="1:10">
      <c r="A59">
        <v>457</v>
      </c>
      <c r="B59">
        <v>2015</v>
      </c>
      <c r="C59" t="s">
        <v>1502</v>
      </c>
      <c r="D59">
        <v>0.1</v>
      </c>
      <c r="E59">
        <v>9.1999999999999993</v>
      </c>
      <c r="F59">
        <v>9.38124</v>
      </c>
      <c r="G59" t="s">
        <v>1438</v>
      </c>
      <c r="H59" t="s">
        <v>1849</v>
      </c>
      <c r="J59">
        <f>F59*'CPI USA'!$E$12*('CPI USA'!$B$80/'CPI USA'!$B$74)</f>
        <v>13.182237518602095</v>
      </c>
    </row>
    <row r="60" spans="1:10">
      <c r="A60">
        <v>457</v>
      </c>
      <c r="B60">
        <v>2015</v>
      </c>
      <c r="C60" t="s">
        <v>1502</v>
      </c>
      <c r="D60">
        <v>0.1</v>
      </c>
      <c r="E60">
        <v>11.5</v>
      </c>
      <c r="F60">
        <v>11.726550000000001</v>
      </c>
      <c r="G60" t="s">
        <v>1438</v>
      </c>
      <c r="H60" t="s">
        <v>1849</v>
      </c>
      <c r="J60">
        <f>F60*'CPI USA'!$E$12*('CPI USA'!$B$80/'CPI USA'!$B$74)</f>
        <v>16.47779689825262</v>
      </c>
    </row>
    <row r="61" spans="1:10">
      <c r="A61">
        <v>457</v>
      </c>
      <c r="B61">
        <v>2015</v>
      </c>
      <c r="C61" t="s">
        <v>1502</v>
      </c>
      <c r="D61">
        <v>0.12</v>
      </c>
      <c r="E61">
        <v>11.2</v>
      </c>
      <c r="F61">
        <v>11.420640000000001</v>
      </c>
      <c r="G61" t="s">
        <v>1438</v>
      </c>
      <c r="H61" t="s">
        <v>1849</v>
      </c>
      <c r="J61">
        <f>F61*'CPI USA'!$E$12*('CPI USA'!$B$80/'CPI USA'!$B$74)</f>
        <v>16.047941326993858</v>
      </c>
    </row>
    <row r="62" spans="1:10">
      <c r="A62">
        <v>457</v>
      </c>
      <c r="B62">
        <v>2015</v>
      </c>
      <c r="C62" t="s">
        <v>1502</v>
      </c>
      <c r="D62">
        <v>0.12</v>
      </c>
      <c r="E62">
        <v>12.8</v>
      </c>
      <c r="F62">
        <v>13.052160000000001</v>
      </c>
      <c r="G62" t="s">
        <v>1438</v>
      </c>
      <c r="H62" t="s">
        <v>1849</v>
      </c>
      <c r="J62">
        <f>F62*'CPI USA'!$E$12*('CPI USA'!$B$80/'CPI USA'!$B$74)</f>
        <v>18.340504373707265</v>
      </c>
    </row>
    <row r="63" spans="1:10">
      <c r="A63">
        <v>457</v>
      </c>
      <c r="B63">
        <v>2015</v>
      </c>
      <c r="C63" t="s">
        <v>1502</v>
      </c>
      <c r="D63">
        <v>0.12</v>
      </c>
      <c r="E63">
        <v>17.5</v>
      </c>
      <c r="F63">
        <v>17.844750000000001</v>
      </c>
      <c r="G63" t="s">
        <v>1438</v>
      </c>
      <c r="H63" t="s">
        <v>1849</v>
      </c>
      <c r="J63">
        <f>F63*'CPI USA'!$E$12*('CPI USA'!$B$80/'CPI USA'!$B$74)</f>
        <v>25.074908323427902</v>
      </c>
    </row>
    <row r="64" spans="1:10">
      <c r="A64">
        <v>457</v>
      </c>
      <c r="B64">
        <v>2015</v>
      </c>
      <c r="C64" t="s">
        <v>1502</v>
      </c>
      <c r="D64">
        <v>0.15</v>
      </c>
      <c r="E64">
        <v>11.6</v>
      </c>
      <c r="F64">
        <v>11.828520000000001</v>
      </c>
      <c r="G64" t="s">
        <v>1438</v>
      </c>
      <c r="H64" t="s">
        <v>1849</v>
      </c>
      <c r="J64">
        <f>F64*'CPI USA'!$E$12*('CPI USA'!$B$80/'CPI USA'!$B$74)</f>
        <v>16.621082088672207</v>
      </c>
    </row>
    <row r="65" spans="1:10">
      <c r="A65">
        <v>457</v>
      </c>
      <c r="B65">
        <v>2015</v>
      </c>
      <c r="C65" t="s">
        <v>1502</v>
      </c>
      <c r="D65">
        <v>0.161</v>
      </c>
      <c r="E65">
        <v>17.100000000000001</v>
      </c>
      <c r="F65">
        <v>17.436870000000003</v>
      </c>
      <c r="G65" t="s">
        <v>1438</v>
      </c>
      <c r="H65" t="s">
        <v>1849</v>
      </c>
      <c r="J65">
        <f>F65*'CPI USA'!$E$12*('CPI USA'!$B$80/'CPI USA'!$B$74)</f>
        <v>24.501767561749553</v>
      </c>
    </row>
    <row r="66" spans="1:10">
      <c r="A66">
        <v>457</v>
      </c>
      <c r="B66">
        <v>2015</v>
      </c>
      <c r="C66" t="s">
        <v>1502</v>
      </c>
      <c r="D66">
        <v>0.19</v>
      </c>
      <c r="E66">
        <v>4.5999999999999996</v>
      </c>
      <c r="F66">
        <v>4.69062</v>
      </c>
      <c r="G66" t="s">
        <v>1438</v>
      </c>
      <c r="H66" t="s">
        <v>1849</v>
      </c>
      <c r="J66">
        <f>F66*'CPI USA'!$E$12*('CPI USA'!$B$80/'CPI USA'!$B$74)</f>
        <v>6.5911187593010476</v>
      </c>
    </row>
    <row r="67" spans="1:10">
      <c r="A67">
        <v>457</v>
      </c>
      <c r="B67">
        <v>2015</v>
      </c>
      <c r="C67" t="s">
        <v>1502</v>
      </c>
      <c r="D67">
        <v>0.2</v>
      </c>
      <c r="E67">
        <v>4.5999999999999996</v>
      </c>
      <c r="F67">
        <v>4.69062</v>
      </c>
      <c r="G67" t="s">
        <v>1438</v>
      </c>
      <c r="H67" t="s">
        <v>1849</v>
      </c>
      <c r="J67">
        <f>F67*'CPI USA'!$E$12*('CPI USA'!$B$80/'CPI USA'!$B$74)</f>
        <v>6.5911187593010476</v>
      </c>
    </row>
    <row r="68" spans="1:10">
      <c r="A68">
        <v>457</v>
      </c>
      <c r="B68">
        <v>2015</v>
      </c>
      <c r="C68" t="s">
        <v>1502</v>
      </c>
      <c r="D68">
        <v>0.2</v>
      </c>
      <c r="E68">
        <v>12.7</v>
      </c>
      <c r="F68">
        <v>12.950189999999999</v>
      </c>
      <c r="G68" t="s">
        <v>1438</v>
      </c>
      <c r="H68" t="s">
        <v>1849</v>
      </c>
      <c r="J68">
        <f>F68*'CPI USA'!$E$12*('CPI USA'!$B$80/'CPI USA'!$B$74)</f>
        <v>18.197219183287675</v>
      </c>
    </row>
    <row r="69" spans="1:10">
      <c r="A69">
        <v>457</v>
      </c>
      <c r="B69">
        <v>2015</v>
      </c>
      <c r="C69" t="s">
        <v>1502</v>
      </c>
      <c r="D69">
        <v>0.2</v>
      </c>
      <c r="E69">
        <v>17.8</v>
      </c>
      <c r="F69">
        <v>18.150660000000002</v>
      </c>
      <c r="G69" t="s">
        <v>1438</v>
      </c>
      <c r="H69" t="s">
        <v>1849</v>
      </c>
      <c r="J69">
        <f>F69*'CPI USA'!$E$12*('CPI USA'!$B$80/'CPI USA'!$B$74)</f>
        <v>25.504763894686665</v>
      </c>
    </row>
    <row r="70" spans="1:10">
      <c r="A70">
        <v>457</v>
      </c>
      <c r="B70">
        <v>2015</v>
      </c>
      <c r="C70" t="s">
        <v>1502</v>
      </c>
      <c r="D70">
        <v>0.2</v>
      </c>
      <c r="E70">
        <v>24.7</v>
      </c>
      <c r="F70">
        <v>25.186589999999999</v>
      </c>
      <c r="G70" t="s">
        <v>1438</v>
      </c>
      <c r="H70" t="s">
        <v>1849</v>
      </c>
      <c r="J70">
        <f>F70*'CPI USA'!$E$12*('CPI USA'!$B$80/'CPI USA'!$B$74)</f>
        <v>35.391442033638235</v>
      </c>
    </row>
    <row r="71" spans="1:10">
      <c r="A71">
        <v>457</v>
      </c>
      <c r="B71">
        <v>2015</v>
      </c>
      <c r="C71" t="s">
        <v>1502</v>
      </c>
      <c r="D71">
        <v>0.2</v>
      </c>
      <c r="E71">
        <v>38.700000000000003</v>
      </c>
      <c r="F71">
        <v>39.462390000000006</v>
      </c>
      <c r="G71" t="s">
        <v>1438</v>
      </c>
      <c r="H71" t="s">
        <v>1849</v>
      </c>
      <c r="J71">
        <f>F71*'CPI USA'!$E$12*('CPI USA'!$B$80/'CPI USA'!$B$74)</f>
        <v>55.451368692380555</v>
      </c>
    </row>
    <row r="72" spans="1:10">
      <c r="A72">
        <v>457</v>
      </c>
      <c r="B72">
        <v>2015</v>
      </c>
      <c r="C72" t="s">
        <v>1502</v>
      </c>
      <c r="D72">
        <v>0.25</v>
      </c>
      <c r="E72">
        <v>13.7</v>
      </c>
      <c r="F72">
        <v>13.969889999999999</v>
      </c>
      <c r="G72" t="s">
        <v>1438</v>
      </c>
      <c r="H72" t="s">
        <v>1849</v>
      </c>
      <c r="J72">
        <f>F72*'CPI USA'!$E$12*('CPI USA'!$B$80/'CPI USA'!$B$74)</f>
        <v>19.630071087483554</v>
      </c>
    </row>
    <row r="73" spans="1:10">
      <c r="A73">
        <v>457</v>
      </c>
      <c r="B73">
        <v>2015</v>
      </c>
      <c r="C73" t="s">
        <v>1502</v>
      </c>
      <c r="D73">
        <v>0.3</v>
      </c>
      <c r="E73">
        <v>10.5</v>
      </c>
      <c r="F73">
        <v>10.706850000000001</v>
      </c>
      <c r="G73" t="s">
        <v>1438</v>
      </c>
      <c r="H73" t="s">
        <v>1849</v>
      </c>
      <c r="J73">
        <f>F73*'CPI USA'!$E$12*('CPI USA'!$B$80/'CPI USA'!$B$74)</f>
        <v>15.044944994056742</v>
      </c>
    </row>
    <row r="74" spans="1:10">
      <c r="A74">
        <v>457</v>
      </c>
      <c r="B74">
        <v>2015</v>
      </c>
      <c r="C74" t="s">
        <v>1502</v>
      </c>
      <c r="D74">
        <v>0.3</v>
      </c>
      <c r="E74">
        <v>15.6</v>
      </c>
      <c r="F74">
        <v>15.90732</v>
      </c>
      <c r="G74" t="s">
        <v>1438</v>
      </c>
      <c r="H74" t="s">
        <v>1849</v>
      </c>
      <c r="J74">
        <f>F74*'CPI USA'!$E$12*('CPI USA'!$B$80/'CPI USA'!$B$74)</f>
        <v>22.352489705455728</v>
      </c>
    </row>
    <row r="75" spans="1:10">
      <c r="A75">
        <v>457</v>
      </c>
      <c r="B75">
        <v>2015</v>
      </c>
      <c r="C75" t="s">
        <v>1502</v>
      </c>
      <c r="D75">
        <v>0.3</v>
      </c>
      <c r="E75">
        <v>17.7</v>
      </c>
      <c r="F75">
        <v>18.048690000000001</v>
      </c>
      <c r="G75" t="s">
        <v>1438</v>
      </c>
      <c r="H75" t="s">
        <v>1849</v>
      </c>
      <c r="J75">
        <f>F75*'CPI USA'!$E$12*('CPI USA'!$B$80/'CPI USA'!$B$74)</f>
        <v>25.361478704267075</v>
      </c>
    </row>
    <row r="76" spans="1:10">
      <c r="A76">
        <v>457</v>
      </c>
      <c r="B76">
        <v>2015</v>
      </c>
      <c r="C76" t="s">
        <v>1502</v>
      </c>
      <c r="D76">
        <v>0.3</v>
      </c>
      <c r="E76">
        <v>24.1</v>
      </c>
      <c r="F76">
        <v>24.574770000000004</v>
      </c>
      <c r="G76" t="s">
        <v>1438</v>
      </c>
      <c r="H76" t="s">
        <v>1849</v>
      </c>
      <c r="J76">
        <f>F76*'CPI USA'!$E$12*('CPI USA'!$B$80/'CPI USA'!$B$74)</f>
        <v>34.531730891120709</v>
      </c>
    </row>
    <row r="77" spans="1:10">
      <c r="A77">
        <v>457</v>
      </c>
      <c r="B77">
        <v>2015</v>
      </c>
      <c r="C77" t="s">
        <v>1502</v>
      </c>
      <c r="D77">
        <v>0.35</v>
      </c>
      <c r="E77">
        <v>21.3</v>
      </c>
      <c r="F77">
        <v>21.719610000000003</v>
      </c>
      <c r="G77" t="s">
        <v>1438</v>
      </c>
      <c r="H77" t="s">
        <v>1849</v>
      </c>
      <c r="J77">
        <f>F77*'CPI USA'!$E$12*('CPI USA'!$B$80/'CPI USA'!$B$74)</f>
        <v>30.519745559372247</v>
      </c>
    </row>
    <row r="78" spans="1:10">
      <c r="A78">
        <v>457</v>
      </c>
      <c r="B78">
        <v>2015</v>
      </c>
      <c r="C78" t="s">
        <v>1502</v>
      </c>
      <c r="D78">
        <v>0.35399999999999998</v>
      </c>
      <c r="E78">
        <v>20.6</v>
      </c>
      <c r="F78">
        <v>21.005820000000003</v>
      </c>
      <c r="G78" t="s">
        <v>1438</v>
      </c>
      <c r="H78" t="s">
        <v>1849</v>
      </c>
      <c r="J78">
        <f>F78*'CPI USA'!$E$12*('CPI USA'!$B$80/'CPI USA'!$B$74)</f>
        <v>29.516749226435131</v>
      </c>
    </row>
    <row r="79" spans="1:10">
      <c r="A79">
        <v>457</v>
      </c>
      <c r="B79">
        <v>2015</v>
      </c>
      <c r="C79" t="s">
        <v>1502</v>
      </c>
      <c r="D79">
        <v>0.39200000000000002</v>
      </c>
      <c r="E79">
        <v>17</v>
      </c>
      <c r="F79">
        <v>17.334900000000001</v>
      </c>
      <c r="G79" t="s">
        <v>1438</v>
      </c>
      <c r="H79" t="s">
        <v>1849</v>
      </c>
      <c r="J79">
        <f>F79*'CPI USA'!$E$12*('CPI USA'!$B$80/'CPI USA'!$B$74)</f>
        <v>24.358482371329963</v>
      </c>
    </row>
    <row r="80" spans="1:10">
      <c r="A80">
        <v>457</v>
      </c>
      <c r="B80">
        <v>2015</v>
      </c>
      <c r="C80" t="s">
        <v>1502</v>
      </c>
      <c r="D80">
        <v>0.4</v>
      </c>
      <c r="E80">
        <v>19</v>
      </c>
      <c r="F80">
        <v>19.374300000000002</v>
      </c>
      <c r="G80" t="s">
        <v>1438</v>
      </c>
      <c r="H80" t="s">
        <v>1849</v>
      </c>
      <c r="J80">
        <f>F80*'CPI USA'!$E$12*('CPI USA'!$B$80/'CPI USA'!$B$74)</f>
        <v>27.224186179721723</v>
      </c>
    </row>
    <row r="81" spans="1:10">
      <c r="A81">
        <v>457</v>
      </c>
      <c r="B81">
        <v>2015</v>
      </c>
      <c r="C81" t="s">
        <v>1502</v>
      </c>
      <c r="D81">
        <v>0.4</v>
      </c>
      <c r="E81">
        <v>20.6</v>
      </c>
      <c r="F81">
        <v>21.005820000000003</v>
      </c>
      <c r="G81" t="s">
        <v>1438</v>
      </c>
      <c r="H81" t="s">
        <v>1849</v>
      </c>
      <c r="J81">
        <f>F81*'CPI USA'!$E$12*('CPI USA'!$B$80/'CPI USA'!$B$74)</f>
        <v>29.516749226435131</v>
      </c>
    </row>
    <row r="82" spans="1:10">
      <c r="A82">
        <v>457</v>
      </c>
      <c r="B82">
        <v>2015</v>
      </c>
      <c r="C82" t="s">
        <v>1502</v>
      </c>
      <c r="D82">
        <v>0.4</v>
      </c>
      <c r="E82">
        <v>21.2</v>
      </c>
      <c r="F82">
        <v>21.617640000000002</v>
      </c>
      <c r="G82" t="s">
        <v>1438</v>
      </c>
      <c r="H82" t="s">
        <v>1849</v>
      </c>
      <c r="J82">
        <f>F82*'CPI USA'!$E$12*('CPI USA'!$B$80/'CPI USA'!$B$74)</f>
        <v>30.376460368952657</v>
      </c>
    </row>
    <row r="83" spans="1:10">
      <c r="A83">
        <v>459</v>
      </c>
      <c r="B83">
        <v>2015</v>
      </c>
      <c r="C83" t="s">
        <v>1502</v>
      </c>
      <c r="D83">
        <v>0.25</v>
      </c>
      <c r="E83">
        <v>11</v>
      </c>
      <c r="F83">
        <v>11.454299999999998</v>
      </c>
      <c r="G83" t="s">
        <v>1530</v>
      </c>
      <c r="H83" t="s">
        <v>1853</v>
      </c>
      <c r="J83">
        <f>F83*'CPI USA'!$E$12*('CPI USA'!$B$80/'CPI USA'!$B$74)</f>
        <v>16.095239351015852</v>
      </c>
    </row>
    <row r="84" spans="1:10">
      <c r="A84">
        <v>459</v>
      </c>
      <c r="B84">
        <v>2015</v>
      </c>
      <c r="C84" t="s">
        <v>1502</v>
      </c>
      <c r="D84">
        <v>0.1</v>
      </c>
      <c r="E84">
        <v>1.5</v>
      </c>
      <c r="F84">
        <v>1.5619499999999999</v>
      </c>
      <c r="G84" t="s">
        <v>1530</v>
      </c>
      <c r="H84" t="s">
        <v>1854</v>
      </c>
      <c r="J84">
        <f>F84*'CPI USA'!$E$12*('CPI USA'!$B$80/'CPI USA'!$B$74)</f>
        <v>2.1948053660476163</v>
      </c>
    </row>
    <row r="85" spans="1:10">
      <c r="A85">
        <v>460</v>
      </c>
      <c r="B85">
        <v>2014</v>
      </c>
      <c r="C85" t="s">
        <v>1502</v>
      </c>
      <c r="D85">
        <v>0.15</v>
      </c>
      <c r="E85">
        <v>3.8</v>
      </c>
      <c r="F85">
        <v>3.956544345565443</v>
      </c>
      <c r="G85" t="s">
        <v>1855</v>
      </c>
      <c r="H85" t="s">
        <v>1856</v>
      </c>
      <c r="J85">
        <f>F85*'CPI USA'!$E$12*('CPI USA'!$B$80/'CPI USA'!$B$74)</f>
        <v>5.5596176322240725</v>
      </c>
    </row>
    <row r="86" spans="1:10">
      <c r="A86">
        <v>460</v>
      </c>
      <c r="B86">
        <v>2014</v>
      </c>
      <c r="C86" t="s">
        <v>1502</v>
      </c>
      <c r="D86">
        <v>0.2</v>
      </c>
      <c r="E86">
        <v>3.5</v>
      </c>
      <c r="F86">
        <v>3.6441855814418558</v>
      </c>
      <c r="G86" t="s">
        <v>1855</v>
      </c>
      <c r="H86" t="s">
        <v>1856</v>
      </c>
      <c r="J86">
        <f>F86*'CPI USA'!$E$12*('CPI USA'!$B$80/'CPI USA'!$B$74)</f>
        <v>5.1207004507326994</v>
      </c>
    </row>
    <row r="87" spans="1:10">
      <c r="A87">
        <v>460</v>
      </c>
      <c r="B87">
        <v>2014</v>
      </c>
      <c r="C87" t="s">
        <v>1502</v>
      </c>
      <c r="D87">
        <v>0.15</v>
      </c>
      <c r="E87">
        <v>0.1</v>
      </c>
      <c r="F87">
        <v>0.10411958804119588</v>
      </c>
      <c r="G87" t="s">
        <v>1855</v>
      </c>
      <c r="H87" t="s">
        <v>1856</v>
      </c>
      <c r="J87">
        <f>F87*'CPI USA'!$E$12*('CPI USA'!$B$80/'CPI USA'!$B$74)</f>
        <v>0.14630572716379139</v>
      </c>
    </row>
    <row r="88" spans="1:10">
      <c r="A88">
        <v>460</v>
      </c>
      <c r="B88">
        <v>2014</v>
      </c>
      <c r="C88" t="s">
        <v>1502</v>
      </c>
      <c r="D88">
        <v>0.2</v>
      </c>
      <c r="E88">
        <v>0.4</v>
      </c>
      <c r="F88">
        <v>0.41647835216478352</v>
      </c>
      <c r="G88" t="s">
        <v>1855</v>
      </c>
      <c r="H88" t="s">
        <v>1856</v>
      </c>
      <c r="J88">
        <f>F88*'CPI USA'!$E$12*('CPI USA'!$B$80/'CPI USA'!$B$74)</f>
        <v>0.58522290865516557</v>
      </c>
    </row>
    <row r="89" spans="1:10">
      <c r="A89">
        <v>460</v>
      </c>
      <c r="B89">
        <v>2014</v>
      </c>
      <c r="C89" t="s">
        <v>1502</v>
      </c>
      <c r="D89">
        <v>0.15</v>
      </c>
      <c r="E89">
        <v>0</v>
      </c>
      <c r="F89">
        <v>0</v>
      </c>
      <c r="G89" t="s">
        <v>1855</v>
      </c>
      <c r="H89" t="s">
        <v>1856</v>
      </c>
      <c r="J89">
        <f>F89*'CPI USA'!$E$12*('CPI USA'!$B$80/'CPI USA'!$B$74)</f>
        <v>0</v>
      </c>
    </row>
    <row r="90" spans="1:10">
      <c r="A90">
        <v>460</v>
      </c>
      <c r="B90">
        <v>2014</v>
      </c>
      <c r="C90" t="s">
        <v>1502</v>
      </c>
      <c r="D90">
        <v>0.2</v>
      </c>
      <c r="E90">
        <v>0</v>
      </c>
      <c r="F90">
        <v>0</v>
      </c>
      <c r="G90" t="s">
        <v>1855</v>
      </c>
      <c r="H90" t="s">
        <v>1856</v>
      </c>
      <c r="J90">
        <f>F90*'CPI USA'!$E$12*('CPI USA'!$B$80/'CPI USA'!$B$74)</f>
        <v>0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D1BA1-D718-42C8-BAEE-FD322CF2E891}">
  <sheetPr filterMode="1"/>
  <dimension ref="A1:N115"/>
  <sheetViews>
    <sheetView workbookViewId="0">
      <selection activeCell="M77" sqref="M77"/>
    </sheetView>
  </sheetViews>
  <sheetFormatPr baseColWidth="10" defaultColWidth="8.83203125" defaultRowHeight="13"/>
  <cols>
    <col min="13" max="13" width="16.5" customWidth="1"/>
    <col min="14" max="14" width="16.33203125" customWidth="1"/>
  </cols>
  <sheetData>
    <row r="1" spans="1:13">
      <c r="A1" t="s">
        <v>1842</v>
      </c>
    </row>
    <row r="2" spans="1:13">
      <c r="A2" t="s">
        <v>1816</v>
      </c>
      <c r="B2" t="s">
        <v>6</v>
      </c>
      <c r="C2" t="s">
        <v>1825</v>
      </c>
      <c r="D2" t="s">
        <v>1786</v>
      </c>
      <c r="E2" t="s">
        <v>1817</v>
      </c>
      <c r="F2" t="s">
        <v>1823</v>
      </c>
      <c r="G2" t="s">
        <v>1818</v>
      </c>
      <c r="H2" t="s">
        <v>1826</v>
      </c>
      <c r="K2" t="s">
        <v>1941</v>
      </c>
      <c r="M2" t="s">
        <v>1949</v>
      </c>
    </row>
    <row r="3" spans="1:13" hidden="1">
      <c r="A3" t="s">
        <v>1879</v>
      </c>
      <c r="B3">
        <v>2015</v>
      </c>
      <c r="C3" t="s">
        <v>1528</v>
      </c>
      <c r="D3">
        <v>0.36399999999999999</v>
      </c>
      <c r="E3">
        <v>6.4</v>
      </c>
      <c r="F3">
        <v>8.9942434560000013</v>
      </c>
      <c r="G3" t="s">
        <v>1507</v>
      </c>
      <c r="H3" t="s">
        <v>1827</v>
      </c>
      <c r="K3">
        <f>F3*('CPI USA'!$E$12)*('CPI USA'!$B$80/'CPI USA'!$B$74)</f>
        <v>12.638441563921678</v>
      </c>
    </row>
    <row r="4" spans="1:13" hidden="1">
      <c r="A4" t="s">
        <v>1879</v>
      </c>
      <c r="B4">
        <v>2015</v>
      </c>
      <c r="C4" t="s">
        <v>1528</v>
      </c>
      <c r="D4">
        <v>0.36299999999999999</v>
      </c>
      <c r="E4">
        <v>13.6</v>
      </c>
      <c r="F4">
        <v>19.112767344000002</v>
      </c>
      <c r="G4" t="s">
        <v>1507</v>
      </c>
      <c r="H4" t="s">
        <v>1827</v>
      </c>
      <c r="K4">
        <f>F4*('CPI USA'!$E$12)*('CPI USA'!$B$80/'CPI USA'!$B$74)</f>
        <v>26.856688323333561</v>
      </c>
    </row>
    <row r="5" spans="1:13" hidden="1">
      <c r="A5" t="s">
        <v>1879</v>
      </c>
      <c r="B5">
        <v>2015</v>
      </c>
      <c r="C5" t="s">
        <v>1528</v>
      </c>
      <c r="D5">
        <v>0.36099999999999999</v>
      </c>
      <c r="E5">
        <v>23</v>
      </c>
      <c r="F5">
        <v>32.323062420000007</v>
      </c>
      <c r="G5" t="s">
        <v>1507</v>
      </c>
      <c r="H5" t="s">
        <v>1827</v>
      </c>
      <c r="K5">
        <f>F5*('CPI USA'!$E$12)*('CPI USA'!$B$80/'CPI USA'!$B$74)</f>
        <v>45.419399370343527</v>
      </c>
    </row>
    <row r="6" spans="1:13" hidden="1">
      <c r="A6" t="s">
        <v>1879</v>
      </c>
      <c r="B6">
        <v>2015</v>
      </c>
      <c r="C6" t="s">
        <v>1528</v>
      </c>
      <c r="D6">
        <v>0.47</v>
      </c>
      <c r="E6">
        <v>36.9</v>
      </c>
      <c r="F6">
        <v>51.857434926000003</v>
      </c>
      <c r="G6" t="s">
        <v>1507</v>
      </c>
      <c r="H6" t="s">
        <v>1827</v>
      </c>
      <c r="K6">
        <f>F6*('CPI USA'!$E$12)*('CPI USA'!$B$80/'CPI USA'!$B$74)</f>
        <v>72.868514641985911</v>
      </c>
    </row>
    <row r="7" spans="1:13" hidden="1">
      <c r="A7" t="s">
        <v>1879</v>
      </c>
      <c r="B7">
        <v>2015</v>
      </c>
      <c r="C7" t="s">
        <v>1528</v>
      </c>
      <c r="D7">
        <v>0.48</v>
      </c>
      <c r="E7">
        <v>35.4</v>
      </c>
      <c r="F7">
        <v>49.749409116000002</v>
      </c>
      <c r="G7" t="s">
        <v>1507</v>
      </c>
      <c r="H7" t="s">
        <v>1827</v>
      </c>
      <c r="K7">
        <f>F7*('CPI USA'!$E$12)*('CPI USA'!$B$80/'CPI USA'!$B$74)</f>
        <v>69.906379900441763</v>
      </c>
    </row>
    <row r="8" spans="1:13" hidden="1">
      <c r="A8" t="s">
        <v>1879</v>
      </c>
      <c r="B8">
        <v>2015</v>
      </c>
      <c r="C8" t="s">
        <v>1528</v>
      </c>
      <c r="D8">
        <v>0.51200000000000001</v>
      </c>
      <c r="E8">
        <v>13.9</v>
      </c>
      <c r="F8">
        <v>19.534372506</v>
      </c>
      <c r="G8" t="s">
        <v>1507</v>
      </c>
      <c r="H8" t="s">
        <v>1827</v>
      </c>
      <c r="K8">
        <f>F8*('CPI USA'!$E$12)*('CPI USA'!$B$80/'CPI USA'!$B$74)</f>
        <v>27.449115271642391</v>
      </c>
    </row>
    <row r="9" spans="1:13" hidden="1">
      <c r="A9" t="s">
        <v>1879</v>
      </c>
      <c r="B9">
        <v>2015</v>
      </c>
      <c r="C9" t="s">
        <v>1528</v>
      </c>
      <c r="D9">
        <v>0.51800000000000002</v>
      </c>
      <c r="E9">
        <v>12.8</v>
      </c>
      <c r="F9">
        <v>17.988486912000003</v>
      </c>
      <c r="G9" t="s">
        <v>1507</v>
      </c>
      <c r="H9" t="s">
        <v>1827</v>
      </c>
      <c r="K9">
        <f>F9*('CPI USA'!$E$12)*('CPI USA'!$B$80/'CPI USA'!$B$74)</f>
        <v>25.276883127843355</v>
      </c>
    </row>
    <row r="10" spans="1:13" hidden="1">
      <c r="A10" t="s">
        <v>1879</v>
      </c>
      <c r="B10">
        <v>2015</v>
      </c>
      <c r="C10" t="s">
        <v>1528</v>
      </c>
      <c r="D10">
        <v>0.51300000000000001</v>
      </c>
      <c r="E10">
        <v>7.1</v>
      </c>
      <c r="F10">
        <v>9.9779888340000014</v>
      </c>
      <c r="G10" t="s">
        <v>1507</v>
      </c>
      <c r="H10" t="s">
        <v>1827</v>
      </c>
      <c r="K10">
        <f>F10*('CPI USA'!$E$12)*('CPI USA'!$B$80/'CPI USA'!$B$74)</f>
        <v>14.020771109975609</v>
      </c>
    </row>
    <row r="11" spans="1:13" hidden="1">
      <c r="A11" t="s">
        <v>1879</v>
      </c>
      <c r="B11">
        <v>2015</v>
      </c>
      <c r="C11" t="s">
        <v>1528</v>
      </c>
      <c r="D11">
        <v>0.51900000000000002</v>
      </c>
      <c r="E11">
        <v>8.1999999999999993</v>
      </c>
      <c r="F11">
        <v>11.523874428000001</v>
      </c>
      <c r="G11" t="s">
        <v>1507</v>
      </c>
      <c r="H11" t="s">
        <v>1827</v>
      </c>
      <c r="K11">
        <f>F11*('CPI USA'!$E$12)*('CPI USA'!$B$80/'CPI USA'!$B$74)</f>
        <v>16.193003253774648</v>
      </c>
    </row>
    <row r="12" spans="1:13" hidden="1">
      <c r="A12">
        <v>456</v>
      </c>
      <c r="B12">
        <v>2015</v>
      </c>
      <c r="C12" t="s">
        <v>1528</v>
      </c>
      <c r="D12">
        <v>0.26600000000000001</v>
      </c>
      <c r="E12">
        <v>10.6</v>
      </c>
      <c r="F12">
        <v>14.896715724000002</v>
      </c>
      <c r="G12" t="s">
        <v>1507</v>
      </c>
      <c r="H12" t="s">
        <v>1828</v>
      </c>
      <c r="K12">
        <f>F12*('CPI USA'!$E$12)*('CPI USA'!$B$80/'CPI USA'!$B$74)</f>
        <v>20.932418840245276</v>
      </c>
    </row>
    <row r="13" spans="1:13" hidden="1">
      <c r="A13">
        <v>456</v>
      </c>
      <c r="B13">
        <v>2015</v>
      </c>
      <c r="C13" t="s">
        <v>1528</v>
      </c>
      <c r="D13">
        <v>0.37</v>
      </c>
      <c r="E13">
        <v>31.8</v>
      </c>
      <c r="F13">
        <v>44.69014717200001</v>
      </c>
      <c r="G13" t="s">
        <v>1507</v>
      </c>
      <c r="H13" t="s">
        <v>1828</v>
      </c>
      <c r="K13">
        <f>F13*('CPI USA'!$E$12)*('CPI USA'!$B$80/'CPI USA'!$B$74)</f>
        <v>62.797256520735836</v>
      </c>
    </row>
    <row r="14" spans="1:13" hidden="1">
      <c r="A14">
        <v>456</v>
      </c>
      <c r="B14">
        <v>2015</v>
      </c>
      <c r="C14" t="s">
        <v>1528</v>
      </c>
      <c r="D14">
        <v>0.504</v>
      </c>
      <c r="E14">
        <v>48.4</v>
      </c>
      <c r="F14">
        <v>68.018966136000003</v>
      </c>
      <c r="G14" t="s">
        <v>1507</v>
      </c>
      <c r="H14" t="s">
        <v>1828</v>
      </c>
      <c r="K14">
        <f>F14*('CPI USA'!$E$12)*('CPI USA'!$B$80/'CPI USA'!$B$74)</f>
        <v>95.578214327157667</v>
      </c>
    </row>
    <row r="15" spans="1:13" hidden="1">
      <c r="A15">
        <v>456</v>
      </c>
      <c r="B15">
        <v>2015</v>
      </c>
      <c r="C15" t="s">
        <v>1528</v>
      </c>
      <c r="D15">
        <v>0.26600000000000001</v>
      </c>
      <c r="E15">
        <v>10.199999999999999</v>
      </c>
      <c r="F15">
        <v>14.334575508</v>
      </c>
      <c r="G15" t="s">
        <v>1507</v>
      </c>
      <c r="H15" t="s">
        <v>1829</v>
      </c>
      <c r="K15">
        <f>F15*('CPI USA'!$E$12)*('CPI USA'!$B$80/'CPI USA'!$B$74)</f>
        <v>20.142516242500172</v>
      </c>
    </row>
    <row r="16" spans="1:13" hidden="1">
      <c r="A16">
        <v>456</v>
      </c>
      <c r="B16">
        <v>2015</v>
      </c>
      <c r="C16" t="s">
        <v>1528</v>
      </c>
      <c r="D16">
        <v>0.37</v>
      </c>
      <c r="E16">
        <v>11</v>
      </c>
      <c r="F16">
        <v>15.458855940000003</v>
      </c>
      <c r="G16" t="s">
        <v>1507</v>
      </c>
      <c r="H16" t="s">
        <v>1829</v>
      </c>
      <c r="K16">
        <f>F16*('CPI USA'!$E$12)*('CPI USA'!$B$80/'CPI USA'!$B$74)</f>
        <v>21.722321437990384</v>
      </c>
    </row>
    <row r="17" spans="1:11" hidden="1">
      <c r="A17">
        <v>456</v>
      </c>
      <c r="B17">
        <v>2015</v>
      </c>
      <c r="C17" t="s">
        <v>1528</v>
      </c>
      <c r="D17">
        <v>0.47</v>
      </c>
      <c r="E17">
        <v>11.2</v>
      </c>
      <c r="F17">
        <v>15.739926048000001</v>
      </c>
      <c r="G17" t="s">
        <v>1507</v>
      </c>
      <c r="H17" t="s">
        <v>1829</v>
      </c>
      <c r="K17">
        <f>F17*('CPI USA'!$E$12)*('CPI USA'!$B$80/'CPI USA'!$B$74)</f>
        <v>22.117272736862933</v>
      </c>
    </row>
    <row r="18" spans="1:11" hidden="1">
      <c r="A18">
        <v>456</v>
      </c>
      <c r="B18">
        <v>2015</v>
      </c>
      <c r="C18" t="s">
        <v>1528</v>
      </c>
      <c r="D18">
        <v>0.26500000000000001</v>
      </c>
      <c r="E18">
        <v>6.6</v>
      </c>
      <c r="F18">
        <v>9.2753135640000011</v>
      </c>
      <c r="G18" t="s">
        <v>1507</v>
      </c>
      <c r="H18" t="s">
        <v>1830</v>
      </c>
      <c r="K18">
        <f>F18*('CPI USA'!$E$12)*('CPI USA'!$B$80/'CPI USA'!$B$74)</f>
        <v>13.033392862794228</v>
      </c>
    </row>
    <row r="19" spans="1:11" hidden="1">
      <c r="A19">
        <v>456</v>
      </c>
      <c r="B19">
        <v>2015</v>
      </c>
      <c r="C19" t="s">
        <v>1528</v>
      </c>
      <c r="D19">
        <v>0.27900000000000003</v>
      </c>
      <c r="E19">
        <v>7.4</v>
      </c>
      <c r="F19">
        <v>10.399593996000002</v>
      </c>
      <c r="G19" t="s">
        <v>1507</v>
      </c>
      <c r="H19" t="s">
        <v>1830</v>
      </c>
      <c r="K19">
        <f>F19*('CPI USA'!$E$12)*('CPI USA'!$B$80/'CPI USA'!$B$74)</f>
        <v>14.613198058284439</v>
      </c>
    </row>
    <row r="20" spans="1:11" hidden="1">
      <c r="A20">
        <v>456</v>
      </c>
      <c r="B20">
        <v>2015</v>
      </c>
      <c r="C20" t="s">
        <v>1528</v>
      </c>
      <c r="D20">
        <v>0.35499999999999998</v>
      </c>
      <c r="E20">
        <v>7.7</v>
      </c>
      <c r="F20">
        <v>10.821199158000001</v>
      </c>
      <c r="G20" t="s">
        <v>1507</v>
      </c>
      <c r="H20" t="s">
        <v>1830</v>
      </c>
      <c r="K20">
        <f>F20*('CPI USA'!$E$12)*('CPI USA'!$B$80/'CPI USA'!$B$74)</f>
        <v>15.205625006593266</v>
      </c>
    </row>
    <row r="21" spans="1:11" hidden="1">
      <c r="A21">
        <v>456</v>
      </c>
      <c r="B21">
        <v>2015</v>
      </c>
      <c r="C21" t="s">
        <v>1528</v>
      </c>
      <c r="D21">
        <v>0.37</v>
      </c>
      <c r="E21">
        <v>7.6</v>
      </c>
      <c r="F21">
        <v>10.680664104000002</v>
      </c>
      <c r="G21" t="s">
        <v>1507</v>
      </c>
      <c r="H21" t="s">
        <v>1830</v>
      </c>
      <c r="K21">
        <f>F21*('CPI USA'!$E$12)*('CPI USA'!$B$80/'CPI USA'!$B$74)</f>
        <v>15.008149357156991</v>
      </c>
    </row>
    <row r="22" spans="1:11" hidden="1">
      <c r="A22">
        <v>456</v>
      </c>
      <c r="B22">
        <v>2015</v>
      </c>
      <c r="C22" t="s">
        <v>1528</v>
      </c>
      <c r="D22">
        <v>0.41499999999999998</v>
      </c>
      <c r="E22">
        <v>6.5</v>
      </c>
      <c r="F22">
        <v>9.1347785100000021</v>
      </c>
      <c r="G22" t="s">
        <v>1507</v>
      </c>
      <c r="H22" t="s">
        <v>1830</v>
      </c>
      <c r="K22">
        <f>F22*('CPI USA'!$E$12)*('CPI USA'!$B$80/'CPI USA'!$B$74)</f>
        <v>12.835917213357954</v>
      </c>
    </row>
    <row r="23" spans="1:11" hidden="1">
      <c r="A23">
        <v>456</v>
      </c>
      <c r="B23">
        <v>2015</v>
      </c>
      <c r="C23" t="s">
        <v>1528</v>
      </c>
      <c r="D23">
        <v>0.46</v>
      </c>
      <c r="E23">
        <v>7.7</v>
      </c>
      <c r="F23">
        <v>10.821199158000001</v>
      </c>
      <c r="G23" t="s">
        <v>1507</v>
      </c>
      <c r="H23" t="s">
        <v>1830</v>
      </c>
      <c r="K23">
        <f>F23*('CPI USA'!$E$12)*('CPI USA'!$B$80/'CPI USA'!$B$74)</f>
        <v>15.205625006593266</v>
      </c>
    </row>
    <row r="24" spans="1:11" hidden="1">
      <c r="A24">
        <v>456</v>
      </c>
      <c r="B24">
        <v>2015</v>
      </c>
      <c r="C24" t="s">
        <v>1528</v>
      </c>
      <c r="D24">
        <v>0.46</v>
      </c>
      <c r="E24">
        <v>8.1999999999999993</v>
      </c>
      <c r="F24">
        <v>11.523874428000001</v>
      </c>
      <c r="G24" t="s">
        <v>1507</v>
      </c>
      <c r="H24" t="s">
        <v>1830</v>
      </c>
      <c r="K24">
        <f>F24*('CPI USA'!$E$12)*('CPI USA'!$B$80/'CPI USA'!$B$74)</f>
        <v>16.193003253774648</v>
      </c>
    </row>
    <row r="25" spans="1:11" hidden="1">
      <c r="A25">
        <v>456</v>
      </c>
      <c r="B25">
        <v>2015</v>
      </c>
      <c r="C25" t="s">
        <v>1528</v>
      </c>
      <c r="D25">
        <v>0.53800000000000003</v>
      </c>
      <c r="E25">
        <v>11.1</v>
      </c>
      <c r="F25">
        <v>15.599390994000002</v>
      </c>
      <c r="G25" t="s">
        <v>1507</v>
      </c>
      <c r="H25" t="s">
        <v>1830</v>
      </c>
      <c r="K25">
        <f>F25*('CPI USA'!$E$12)*('CPI USA'!$B$80/'CPI USA'!$B$74)</f>
        <v>21.919797087426659</v>
      </c>
    </row>
    <row r="26" spans="1:11" hidden="1">
      <c r="A26">
        <v>456</v>
      </c>
      <c r="B26">
        <v>2015</v>
      </c>
      <c r="C26" t="s">
        <v>1528</v>
      </c>
      <c r="D26">
        <v>0.53800000000000003</v>
      </c>
      <c r="E26">
        <v>11.4</v>
      </c>
      <c r="F26">
        <v>16.020996156000002</v>
      </c>
      <c r="G26" t="s">
        <v>1507</v>
      </c>
      <c r="H26" t="s">
        <v>1830</v>
      </c>
      <c r="K26">
        <f>F26*('CPI USA'!$E$12)*('CPI USA'!$B$80/'CPI USA'!$B$74)</f>
        <v>22.512224035735485</v>
      </c>
    </row>
    <row r="27" spans="1:11" hidden="1">
      <c r="A27">
        <v>456</v>
      </c>
      <c r="B27">
        <v>2015</v>
      </c>
      <c r="C27" t="s">
        <v>1528</v>
      </c>
      <c r="D27">
        <v>0.56000000000000005</v>
      </c>
      <c r="E27">
        <v>18.600000000000001</v>
      </c>
      <c r="F27">
        <v>26.139520044000005</v>
      </c>
      <c r="G27" t="s">
        <v>1507</v>
      </c>
      <c r="H27" t="s">
        <v>1830</v>
      </c>
      <c r="K27">
        <f>F27*('CPI USA'!$E$12)*('CPI USA'!$B$80/'CPI USA'!$B$74)</f>
        <v>36.730470795147376</v>
      </c>
    </row>
    <row r="28" spans="1:11" hidden="1">
      <c r="A28">
        <v>456</v>
      </c>
      <c r="B28">
        <v>2015</v>
      </c>
      <c r="C28" t="s">
        <v>1528</v>
      </c>
      <c r="D28">
        <v>0.60199999999999998</v>
      </c>
      <c r="E28">
        <v>17.600000000000001</v>
      </c>
      <c r="F28">
        <v>24.734169504000004</v>
      </c>
      <c r="G28" t="s">
        <v>1507</v>
      </c>
      <c r="H28" t="s">
        <v>1830</v>
      </c>
      <c r="K28">
        <f>F28*('CPI USA'!$E$12)*('CPI USA'!$B$80/'CPI USA'!$B$74)</f>
        <v>34.755714300784611</v>
      </c>
    </row>
    <row r="29" spans="1:11" hidden="1">
      <c r="A29">
        <v>456</v>
      </c>
      <c r="B29">
        <v>2015</v>
      </c>
      <c r="C29" t="s">
        <v>1528</v>
      </c>
      <c r="D29">
        <v>0.60199999999999998</v>
      </c>
      <c r="E29">
        <v>22.7</v>
      </c>
      <c r="F29">
        <v>31.901457258000004</v>
      </c>
      <c r="G29" t="s">
        <v>1507</v>
      </c>
      <c r="H29" t="s">
        <v>1830</v>
      </c>
      <c r="K29">
        <f>F29*('CPI USA'!$E$12)*('CPI USA'!$B$80/'CPI USA'!$B$74)</f>
        <v>44.826972422034693</v>
      </c>
    </row>
    <row r="30" spans="1:11" hidden="1">
      <c r="A30">
        <v>456</v>
      </c>
      <c r="B30">
        <v>2015</v>
      </c>
      <c r="C30" t="s">
        <v>1528</v>
      </c>
      <c r="D30">
        <v>0.45200000000000001</v>
      </c>
      <c r="E30">
        <v>5.5</v>
      </c>
      <c r="F30">
        <v>7.7294279700000015</v>
      </c>
      <c r="G30" t="s">
        <v>1507</v>
      </c>
      <c r="H30" t="s">
        <v>1831</v>
      </c>
      <c r="K30">
        <f>F30*('CPI USA'!$E$12)*('CPI USA'!$B$80/'CPI USA'!$B$74)</f>
        <v>10.861160718995192</v>
      </c>
    </row>
    <row r="31" spans="1:11" hidden="1">
      <c r="A31">
        <v>456</v>
      </c>
      <c r="B31">
        <v>2015</v>
      </c>
      <c r="C31" t="s">
        <v>1528</v>
      </c>
      <c r="D31">
        <v>0.45300000000000001</v>
      </c>
      <c r="E31">
        <v>5.6</v>
      </c>
      <c r="F31">
        <v>7.8699630240000005</v>
      </c>
      <c r="G31" t="s">
        <v>1507</v>
      </c>
      <c r="H31" t="s">
        <v>1831</v>
      </c>
      <c r="K31">
        <f>F31*('CPI USA'!$E$12)*('CPI USA'!$B$80/'CPI USA'!$B$74)</f>
        <v>11.058636368431467</v>
      </c>
    </row>
    <row r="32" spans="1:11" hidden="1">
      <c r="A32">
        <v>456</v>
      </c>
      <c r="B32">
        <v>2015</v>
      </c>
      <c r="C32" t="s">
        <v>1528</v>
      </c>
      <c r="D32">
        <v>0.52800000000000002</v>
      </c>
      <c r="E32">
        <v>6.7</v>
      </c>
      <c r="F32">
        <v>9.4158486180000018</v>
      </c>
      <c r="G32" t="s">
        <v>1507</v>
      </c>
      <c r="H32" t="s">
        <v>1831</v>
      </c>
      <c r="K32">
        <f>F32*('CPI USA'!$E$12)*('CPI USA'!$B$80/'CPI USA'!$B$74)</f>
        <v>13.230868512230506</v>
      </c>
    </row>
    <row r="33" spans="1:11" hidden="1">
      <c r="A33">
        <v>456</v>
      </c>
      <c r="B33">
        <v>2015</v>
      </c>
      <c r="C33" t="s">
        <v>1528</v>
      </c>
      <c r="D33">
        <v>0.53</v>
      </c>
      <c r="E33">
        <v>6.7</v>
      </c>
      <c r="F33">
        <v>9.4158486180000018</v>
      </c>
      <c r="G33" t="s">
        <v>1507</v>
      </c>
      <c r="H33" t="s">
        <v>1831</v>
      </c>
      <c r="K33">
        <f>F33*('CPI USA'!$E$12)*('CPI USA'!$B$80/'CPI USA'!$B$74)</f>
        <v>13.230868512230506</v>
      </c>
    </row>
    <row r="34" spans="1:11" hidden="1">
      <c r="A34">
        <v>456</v>
      </c>
      <c r="B34">
        <v>2015</v>
      </c>
      <c r="C34" t="s">
        <v>1528</v>
      </c>
      <c r="D34">
        <v>0.58899999999999997</v>
      </c>
      <c r="E34">
        <v>7.8</v>
      </c>
      <c r="F34">
        <v>10.961734212</v>
      </c>
      <c r="G34" t="s">
        <v>1507</v>
      </c>
      <c r="H34" t="s">
        <v>1831</v>
      </c>
      <c r="K34">
        <f>F34*('CPI USA'!$E$12)*('CPI USA'!$B$80/'CPI USA'!$B$74)</f>
        <v>15.403100656029542</v>
      </c>
    </row>
    <row r="35" spans="1:11" hidden="1">
      <c r="A35">
        <v>456</v>
      </c>
      <c r="B35">
        <v>2015</v>
      </c>
      <c r="C35" t="s">
        <v>1528</v>
      </c>
      <c r="D35">
        <v>0.58899999999999997</v>
      </c>
      <c r="E35">
        <v>7.4</v>
      </c>
      <c r="F35">
        <v>10.399593996000002</v>
      </c>
      <c r="G35" t="s">
        <v>1507</v>
      </c>
      <c r="H35" t="s">
        <v>1831</v>
      </c>
      <c r="K35">
        <f>F35*('CPI USA'!$E$12)*('CPI USA'!$B$80/'CPI USA'!$B$74)</f>
        <v>14.613198058284439</v>
      </c>
    </row>
    <row r="36" spans="1:11" hidden="1">
      <c r="A36" t="s">
        <v>1879</v>
      </c>
      <c r="B36">
        <v>2015</v>
      </c>
      <c r="C36" t="s">
        <v>1528</v>
      </c>
      <c r="D36">
        <v>0.36199999999999999</v>
      </c>
      <c r="E36">
        <v>23</v>
      </c>
      <c r="F36">
        <v>32.323062420000007</v>
      </c>
      <c r="G36" t="s">
        <v>1507</v>
      </c>
      <c r="H36" t="s">
        <v>1832</v>
      </c>
      <c r="K36">
        <f>F36*('CPI USA'!$E$12)*('CPI USA'!$B$80/'CPI USA'!$B$74)</f>
        <v>45.419399370343527</v>
      </c>
    </row>
    <row r="37" spans="1:11" hidden="1">
      <c r="A37" t="s">
        <v>1879</v>
      </c>
      <c r="B37">
        <v>2015</v>
      </c>
      <c r="C37" t="s">
        <v>1528</v>
      </c>
      <c r="D37">
        <v>0.36399999999999999</v>
      </c>
      <c r="E37">
        <v>13.5</v>
      </c>
      <c r="F37">
        <v>18.972232290000004</v>
      </c>
      <c r="G37" t="s">
        <v>1507</v>
      </c>
      <c r="H37" t="s">
        <v>1832</v>
      </c>
      <c r="K37">
        <f>F37*('CPI USA'!$E$12)*('CPI USA'!$B$80/'CPI USA'!$B$74)</f>
        <v>26.65921267389729</v>
      </c>
    </row>
    <row r="38" spans="1:11" hidden="1">
      <c r="A38" t="s">
        <v>1879</v>
      </c>
      <c r="B38">
        <v>2015</v>
      </c>
      <c r="C38" t="s">
        <v>1528</v>
      </c>
      <c r="D38">
        <v>0.36399999999999999</v>
      </c>
      <c r="E38">
        <v>6.3</v>
      </c>
      <c r="F38">
        <v>8.8537084020000005</v>
      </c>
      <c r="G38" t="s">
        <v>1507</v>
      </c>
      <c r="H38" t="s">
        <v>1832</v>
      </c>
      <c r="K38">
        <f>F38*('CPI USA'!$E$12)*('CPI USA'!$B$80/'CPI USA'!$B$74)</f>
        <v>12.4409659144854</v>
      </c>
    </row>
    <row r="39" spans="1:11" hidden="1">
      <c r="A39" t="s">
        <v>1879</v>
      </c>
      <c r="B39">
        <v>2015</v>
      </c>
      <c r="C39" t="s">
        <v>1528</v>
      </c>
      <c r="D39">
        <v>0.47099999999999997</v>
      </c>
      <c r="E39">
        <v>36.799999999999997</v>
      </c>
      <c r="F39">
        <v>51.716899871999999</v>
      </c>
      <c r="G39" t="s">
        <v>1507</v>
      </c>
      <c r="H39" t="s">
        <v>1832</v>
      </c>
      <c r="K39">
        <f>F39*('CPI USA'!$E$12)*('CPI USA'!$B$80/'CPI USA'!$B$74)</f>
        <v>72.67103899254964</v>
      </c>
    </row>
    <row r="40" spans="1:11" hidden="1">
      <c r="A40" t="s">
        <v>1879</v>
      </c>
      <c r="B40">
        <v>2015</v>
      </c>
      <c r="C40" t="s">
        <v>1528</v>
      </c>
      <c r="D40">
        <v>0.48</v>
      </c>
      <c r="E40">
        <v>35.4</v>
      </c>
      <c r="F40">
        <v>49.749409116000002</v>
      </c>
      <c r="G40" t="s">
        <v>1507</v>
      </c>
      <c r="H40" t="s">
        <v>1832</v>
      </c>
      <c r="K40">
        <f>F40*('CPI USA'!$E$12)*('CPI USA'!$B$80/'CPI USA'!$B$74)</f>
        <v>69.906379900441763</v>
      </c>
    </row>
    <row r="41" spans="1:11" hidden="1">
      <c r="A41" t="s">
        <v>1879</v>
      </c>
      <c r="B41">
        <v>2015</v>
      </c>
      <c r="C41" t="s">
        <v>1528</v>
      </c>
      <c r="D41">
        <v>0.51300000000000001</v>
      </c>
      <c r="E41">
        <v>13.8</v>
      </c>
      <c r="F41">
        <v>19.393837452000003</v>
      </c>
      <c r="G41" t="s">
        <v>1507</v>
      </c>
      <c r="H41" t="s">
        <v>1832</v>
      </c>
      <c r="K41">
        <f>F41*('CPI USA'!$E$12)*('CPI USA'!$B$80/'CPI USA'!$B$74)</f>
        <v>27.251639622206117</v>
      </c>
    </row>
    <row r="42" spans="1:11" hidden="1">
      <c r="A42" t="s">
        <v>1879</v>
      </c>
      <c r="B42">
        <v>2015</v>
      </c>
      <c r="C42" t="s">
        <v>1528</v>
      </c>
      <c r="D42">
        <v>0.51800000000000002</v>
      </c>
      <c r="E42">
        <v>12.7</v>
      </c>
      <c r="F42">
        <v>17.847951858000002</v>
      </c>
      <c r="G42" t="s">
        <v>1507</v>
      </c>
      <c r="H42" t="s">
        <v>1832</v>
      </c>
      <c r="K42">
        <f>F42*('CPI USA'!$E$12)*('CPI USA'!$B$80/'CPI USA'!$B$74)</f>
        <v>25.079407478407077</v>
      </c>
    </row>
    <row r="43" spans="1:11" hidden="1">
      <c r="A43" t="s">
        <v>1879</v>
      </c>
      <c r="B43">
        <v>2015</v>
      </c>
      <c r="C43" t="s">
        <v>1528</v>
      </c>
      <c r="D43">
        <v>0.51400000000000001</v>
      </c>
      <c r="E43">
        <v>6.9</v>
      </c>
      <c r="F43">
        <v>9.6969187260000016</v>
      </c>
      <c r="G43" t="s">
        <v>1507</v>
      </c>
      <c r="H43" t="s">
        <v>1832</v>
      </c>
      <c r="K43">
        <f>F43*('CPI USA'!$E$12)*('CPI USA'!$B$80/'CPI USA'!$B$74)</f>
        <v>13.625819811103058</v>
      </c>
    </row>
    <row r="44" spans="1:11" hidden="1">
      <c r="A44" t="s">
        <v>1879</v>
      </c>
      <c r="B44">
        <v>2015</v>
      </c>
      <c r="C44" t="s">
        <v>1528</v>
      </c>
      <c r="D44">
        <v>0.51900000000000002</v>
      </c>
      <c r="E44">
        <v>8.1</v>
      </c>
      <c r="F44">
        <v>11.383339374</v>
      </c>
      <c r="G44" t="s">
        <v>1507</v>
      </c>
      <c r="H44" t="s">
        <v>1832</v>
      </c>
      <c r="K44">
        <f>F44*('CPI USA'!$E$12)*('CPI USA'!$B$80/'CPI USA'!$B$74)</f>
        <v>15.995527604338371</v>
      </c>
    </row>
    <row r="45" spans="1:11" hidden="1">
      <c r="A45">
        <v>456</v>
      </c>
      <c r="B45">
        <v>2015</v>
      </c>
      <c r="C45" t="s">
        <v>1528</v>
      </c>
      <c r="D45">
        <v>0.26600000000000001</v>
      </c>
      <c r="E45">
        <v>10.9</v>
      </c>
      <c r="F45">
        <v>15.318320886000002</v>
      </c>
      <c r="G45" t="s">
        <v>1507</v>
      </c>
      <c r="H45" t="s">
        <v>1833</v>
      </c>
      <c r="K45">
        <f>F45*('CPI USA'!$E$12)*('CPI USA'!$B$80/'CPI USA'!$B$74)</f>
        <v>21.524845788554103</v>
      </c>
    </row>
    <row r="46" spans="1:11" hidden="1">
      <c r="A46">
        <v>456</v>
      </c>
      <c r="B46">
        <v>2015</v>
      </c>
      <c r="C46" t="s">
        <v>1528</v>
      </c>
      <c r="D46">
        <v>0.37</v>
      </c>
      <c r="E46">
        <v>22.8</v>
      </c>
      <c r="F46">
        <v>32.041992312000005</v>
      </c>
      <c r="G46" t="s">
        <v>1507</v>
      </c>
      <c r="H46" t="s">
        <v>1833</v>
      </c>
      <c r="K46">
        <f>F46*('CPI USA'!$E$12)*('CPI USA'!$B$80/'CPI USA'!$B$74)</f>
        <v>45.024448071470971</v>
      </c>
    </row>
    <row r="47" spans="1:11" hidden="1">
      <c r="A47">
        <v>456</v>
      </c>
      <c r="B47">
        <v>2015</v>
      </c>
      <c r="C47" t="s">
        <v>1528</v>
      </c>
      <c r="D47">
        <v>0.50600000000000001</v>
      </c>
      <c r="E47">
        <v>40.200000000000003</v>
      </c>
      <c r="F47">
        <v>56.495091708000011</v>
      </c>
      <c r="G47" t="s">
        <v>1507</v>
      </c>
      <c r="H47" t="s">
        <v>1833</v>
      </c>
      <c r="K47">
        <f>F47*('CPI USA'!$E$12)*('CPI USA'!$B$80/'CPI USA'!$B$74)</f>
        <v>79.385211073383033</v>
      </c>
    </row>
    <row r="48" spans="1:11" hidden="1">
      <c r="A48">
        <v>456</v>
      </c>
      <c r="B48">
        <v>2015</v>
      </c>
      <c r="C48" t="s">
        <v>1528</v>
      </c>
      <c r="D48">
        <v>0.26600000000000001</v>
      </c>
      <c r="E48">
        <v>10.3</v>
      </c>
      <c r="F48">
        <v>14.475110562000003</v>
      </c>
      <c r="G48" t="s">
        <v>1507</v>
      </c>
      <c r="H48" t="s">
        <v>1834</v>
      </c>
      <c r="K48">
        <f>F48*('CPI USA'!$E$12)*('CPI USA'!$B$80/'CPI USA'!$B$74)</f>
        <v>20.33999189193645</v>
      </c>
    </row>
    <row r="49" spans="1:11" hidden="1">
      <c r="A49">
        <v>456</v>
      </c>
      <c r="B49">
        <v>2015</v>
      </c>
      <c r="C49" t="s">
        <v>1528</v>
      </c>
      <c r="D49">
        <v>0.37</v>
      </c>
      <c r="E49">
        <v>11.9</v>
      </c>
      <c r="F49">
        <v>16.723671426000003</v>
      </c>
      <c r="G49" t="s">
        <v>1507</v>
      </c>
      <c r="H49" t="s">
        <v>1834</v>
      </c>
      <c r="K49">
        <f>F49*('CPI USA'!$E$12)*('CPI USA'!$B$80/'CPI USA'!$B$74)</f>
        <v>23.499602282916868</v>
      </c>
    </row>
    <row r="50" spans="1:11" hidden="1">
      <c r="A50">
        <v>456</v>
      </c>
      <c r="B50">
        <v>2015</v>
      </c>
      <c r="C50" t="s">
        <v>1528</v>
      </c>
      <c r="D50">
        <v>0.47</v>
      </c>
      <c r="E50">
        <v>10.199999999999999</v>
      </c>
      <c r="F50">
        <v>14.334575508</v>
      </c>
      <c r="G50" t="s">
        <v>1507</v>
      </c>
      <c r="H50" t="s">
        <v>1834</v>
      </c>
      <c r="K50">
        <f>F50*('CPI USA'!$E$12)*('CPI USA'!$B$80/'CPI USA'!$B$74)</f>
        <v>20.142516242500172</v>
      </c>
    </row>
    <row r="51" spans="1:11" hidden="1">
      <c r="A51">
        <v>456</v>
      </c>
      <c r="B51">
        <v>2015</v>
      </c>
      <c r="C51" t="s">
        <v>1528</v>
      </c>
      <c r="D51">
        <v>0.26600000000000001</v>
      </c>
      <c r="E51">
        <v>6.5</v>
      </c>
      <c r="F51">
        <v>9.1347785100000021</v>
      </c>
      <c r="G51" t="s">
        <v>1507</v>
      </c>
      <c r="H51" t="s">
        <v>1835</v>
      </c>
      <c r="K51">
        <f>F51*('CPI USA'!$E$12)*('CPI USA'!$B$80/'CPI USA'!$B$74)</f>
        <v>12.835917213357954</v>
      </c>
    </row>
    <row r="52" spans="1:11" hidden="1">
      <c r="A52">
        <v>456</v>
      </c>
      <c r="B52">
        <v>2015</v>
      </c>
      <c r="C52" t="s">
        <v>1528</v>
      </c>
      <c r="D52">
        <v>0.27900000000000003</v>
      </c>
      <c r="E52">
        <v>7.2</v>
      </c>
      <c r="F52">
        <v>10.118523888</v>
      </c>
      <c r="G52" t="s">
        <v>1507</v>
      </c>
      <c r="H52" t="s">
        <v>1835</v>
      </c>
      <c r="K52">
        <f>F52*('CPI USA'!$E$12)*('CPI USA'!$B$80/'CPI USA'!$B$74)</f>
        <v>14.218246759411887</v>
      </c>
    </row>
    <row r="53" spans="1:11" hidden="1">
      <c r="A53">
        <v>456</v>
      </c>
      <c r="B53">
        <v>2015</v>
      </c>
      <c r="C53" t="s">
        <v>1528</v>
      </c>
      <c r="D53">
        <v>0.35599999999999998</v>
      </c>
      <c r="E53">
        <v>4.8</v>
      </c>
      <c r="F53">
        <v>6.7456825920000005</v>
      </c>
      <c r="G53" t="s">
        <v>1507</v>
      </c>
      <c r="H53" t="s">
        <v>1835</v>
      </c>
      <c r="K53">
        <f>F53*('CPI USA'!$E$12)*('CPI USA'!$B$80/'CPI USA'!$B$74)</f>
        <v>9.4788311729412573</v>
      </c>
    </row>
    <row r="54" spans="1:11" hidden="1">
      <c r="A54">
        <v>456</v>
      </c>
      <c r="B54">
        <v>2015</v>
      </c>
      <c r="C54" t="s">
        <v>1528</v>
      </c>
      <c r="D54">
        <v>0.37</v>
      </c>
      <c r="E54">
        <v>7.5</v>
      </c>
      <c r="F54">
        <v>10.540129050000001</v>
      </c>
      <c r="G54" t="s">
        <v>1507</v>
      </c>
      <c r="H54" t="s">
        <v>1835</v>
      </c>
      <c r="K54">
        <f>F54*('CPI USA'!$E$12)*('CPI USA'!$B$80/'CPI USA'!$B$74)</f>
        <v>14.810673707720715</v>
      </c>
    </row>
    <row r="55" spans="1:11" hidden="1">
      <c r="A55">
        <v>456</v>
      </c>
      <c r="B55">
        <v>2015</v>
      </c>
      <c r="C55" t="s">
        <v>1528</v>
      </c>
      <c r="D55">
        <v>0.41499999999999998</v>
      </c>
      <c r="E55">
        <v>6.3</v>
      </c>
      <c r="F55">
        <v>8.8537084020000005</v>
      </c>
      <c r="G55" t="s">
        <v>1507</v>
      </c>
      <c r="H55" t="s">
        <v>1835</v>
      </c>
      <c r="K55">
        <f>F55*('CPI USA'!$E$12)*('CPI USA'!$B$80/'CPI USA'!$B$74)</f>
        <v>12.4409659144854</v>
      </c>
    </row>
    <row r="56" spans="1:11" hidden="1">
      <c r="A56">
        <v>456</v>
      </c>
      <c r="B56">
        <v>2015</v>
      </c>
      <c r="C56" t="s">
        <v>1528</v>
      </c>
      <c r="D56">
        <v>0.46</v>
      </c>
      <c r="E56">
        <v>7.2</v>
      </c>
      <c r="F56">
        <v>10.118523888</v>
      </c>
      <c r="G56" t="s">
        <v>1507</v>
      </c>
      <c r="H56" t="s">
        <v>1835</v>
      </c>
      <c r="K56">
        <f>F56*('CPI USA'!$E$12)*('CPI USA'!$B$80/'CPI USA'!$B$74)</f>
        <v>14.218246759411887</v>
      </c>
    </row>
    <row r="57" spans="1:11" hidden="1">
      <c r="A57">
        <v>456</v>
      </c>
      <c r="B57">
        <v>2015</v>
      </c>
      <c r="C57" t="s">
        <v>1528</v>
      </c>
      <c r="D57">
        <v>0.46</v>
      </c>
      <c r="E57">
        <v>7.5</v>
      </c>
      <c r="F57">
        <v>10.540129050000001</v>
      </c>
      <c r="G57" t="s">
        <v>1507</v>
      </c>
      <c r="H57" t="s">
        <v>1835</v>
      </c>
      <c r="K57">
        <f>F57*('CPI USA'!$E$12)*('CPI USA'!$B$80/'CPI USA'!$B$74)</f>
        <v>14.810673707720715</v>
      </c>
    </row>
    <row r="58" spans="1:11" hidden="1">
      <c r="A58">
        <v>456</v>
      </c>
      <c r="B58">
        <v>2015</v>
      </c>
      <c r="C58" t="s">
        <v>1528</v>
      </c>
      <c r="D58">
        <v>0.53800000000000003</v>
      </c>
      <c r="E58">
        <v>7.3</v>
      </c>
      <c r="F58">
        <v>10.259058942000001</v>
      </c>
      <c r="G58" t="s">
        <v>1507</v>
      </c>
      <c r="H58" t="s">
        <v>1835</v>
      </c>
      <c r="K58">
        <f>F58*('CPI USA'!$E$12)*('CPI USA'!$B$80/'CPI USA'!$B$74)</f>
        <v>14.415722408848163</v>
      </c>
    </row>
    <row r="59" spans="1:11" hidden="1">
      <c r="A59">
        <v>456</v>
      </c>
      <c r="B59">
        <v>2015</v>
      </c>
      <c r="C59" t="s">
        <v>1528</v>
      </c>
      <c r="D59">
        <v>0.53800000000000003</v>
      </c>
      <c r="E59">
        <v>8.5</v>
      </c>
      <c r="F59">
        <v>11.945479590000001</v>
      </c>
      <c r="G59" t="s">
        <v>1507</v>
      </c>
      <c r="H59" t="s">
        <v>1835</v>
      </c>
      <c r="K59">
        <f>F59*('CPI USA'!$E$12)*('CPI USA'!$B$80/'CPI USA'!$B$74)</f>
        <v>16.785430202083475</v>
      </c>
    </row>
    <row r="60" spans="1:11" hidden="1">
      <c r="A60">
        <v>456</v>
      </c>
      <c r="B60">
        <v>2015</v>
      </c>
      <c r="C60" t="s">
        <v>1528</v>
      </c>
      <c r="D60">
        <v>0.56000000000000005</v>
      </c>
      <c r="E60">
        <v>16.2</v>
      </c>
      <c r="F60">
        <v>22.766678748</v>
      </c>
      <c r="G60" t="s">
        <v>1507</v>
      </c>
      <c r="H60" t="s">
        <v>1835</v>
      </c>
      <c r="K60">
        <f>F60*('CPI USA'!$E$12)*('CPI USA'!$B$80/'CPI USA'!$B$74)</f>
        <v>31.991055208676741</v>
      </c>
    </row>
    <row r="61" spans="1:11" hidden="1">
      <c r="A61">
        <v>456</v>
      </c>
      <c r="B61">
        <v>2015</v>
      </c>
      <c r="C61" t="s">
        <v>1528</v>
      </c>
      <c r="D61">
        <v>0.60199999999999998</v>
      </c>
      <c r="E61">
        <v>12.8</v>
      </c>
      <c r="F61">
        <v>17.988486912000003</v>
      </c>
      <c r="G61" t="s">
        <v>1507</v>
      </c>
      <c r="H61" t="s">
        <v>1835</v>
      </c>
      <c r="K61">
        <f>F61*('CPI USA'!$E$12)*('CPI USA'!$B$80/'CPI USA'!$B$74)</f>
        <v>25.276883127843355</v>
      </c>
    </row>
    <row r="62" spans="1:11" hidden="1">
      <c r="A62">
        <v>456</v>
      </c>
      <c r="B62">
        <v>2015</v>
      </c>
      <c r="C62" t="s">
        <v>1528</v>
      </c>
      <c r="D62">
        <v>0.60199999999999998</v>
      </c>
      <c r="E62">
        <v>14.1</v>
      </c>
      <c r="F62">
        <v>19.815442614000002</v>
      </c>
      <c r="G62" t="s">
        <v>1507</v>
      </c>
      <c r="H62" t="s">
        <v>1835</v>
      </c>
      <c r="K62">
        <f>F62*('CPI USA'!$E$12)*('CPI USA'!$B$80/'CPI USA'!$B$74)</f>
        <v>27.844066570514943</v>
      </c>
    </row>
    <row r="63" spans="1:11" hidden="1">
      <c r="A63">
        <v>456</v>
      </c>
      <c r="B63">
        <v>2015</v>
      </c>
      <c r="C63" t="s">
        <v>1528</v>
      </c>
      <c r="D63">
        <v>0.45200000000000001</v>
      </c>
      <c r="E63">
        <v>7.2</v>
      </c>
      <c r="F63">
        <v>10.118523888</v>
      </c>
      <c r="G63" t="s">
        <v>1507</v>
      </c>
      <c r="H63" t="s">
        <v>1836</v>
      </c>
      <c r="K63">
        <f>F63*('CPI USA'!$E$12)*('CPI USA'!$B$80/'CPI USA'!$B$74)</f>
        <v>14.218246759411887</v>
      </c>
    </row>
    <row r="64" spans="1:11" hidden="1">
      <c r="A64">
        <v>456</v>
      </c>
      <c r="B64">
        <v>2015</v>
      </c>
      <c r="C64" t="s">
        <v>1528</v>
      </c>
      <c r="D64">
        <v>0.45300000000000001</v>
      </c>
      <c r="E64">
        <v>7.5</v>
      </c>
      <c r="F64">
        <v>10.540129050000001</v>
      </c>
      <c r="G64" t="s">
        <v>1507</v>
      </c>
      <c r="H64" t="s">
        <v>1836</v>
      </c>
      <c r="K64">
        <f>F64*('CPI USA'!$E$12)*('CPI USA'!$B$80/'CPI USA'!$B$74)</f>
        <v>14.810673707720715</v>
      </c>
    </row>
    <row r="65" spans="1:14" hidden="1">
      <c r="A65">
        <v>456</v>
      </c>
      <c r="B65">
        <v>2015</v>
      </c>
      <c r="C65" t="s">
        <v>1528</v>
      </c>
      <c r="D65">
        <v>0.52700000000000002</v>
      </c>
      <c r="E65">
        <v>1.5</v>
      </c>
      <c r="F65">
        <v>2.1080258100000004</v>
      </c>
      <c r="G65" t="s">
        <v>1507</v>
      </c>
      <c r="H65" t="s">
        <v>1836</v>
      </c>
      <c r="K65">
        <f>F65*('CPI USA'!$E$12)*('CPI USA'!$B$80/'CPI USA'!$B$74)</f>
        <v>2.9621347415441428</v>
      </c>
    </row>
    <row r="66" spans="1:14" hidden="1">
      <c r="A66">
        <v>456</v>
      </c>
      <c r="B66">
        <v>2015</v>
      </c>
      <c r="C66" t="s">
        <v>1528</v>
      </c>
      <c r="D66">
        <v>0.53</v>
      </c>
      <c r="E66">
        <v>6.6</v>
      </c>
      <c r="F66">
        <v>9.2753135640000011</v>
      </c>
      <c r="G66" t="s">
        <v>1507</v>
      </c>
      <c r="H66" t="s">
        <v>1836</v>
      </c>
      <c r="K66">
        <f>F66*('CPI USA'!$E$12)*('CPI USA'!$B$80/'CPI USA'!$B$74)</f>
        <v>13.033392862794228</v>
      </c>
    </row>
    <row r="67" spans="1:14" hidden="1">
      <c r="A67">
        <v>456</v>
      </c>
      <c r="B67">
        <v>2015</v>
      </c>
      <c r="C67" t="s">
        <v>1528</v>
      </c>
      <c r="D67">
        <v>0.58899999999999997</v>
      </c>
      <c r="E67">
        <v>8</v>
      </c>
      <c r="F67">
        <v>11.242804320000001</v>
      </c>
      <c r="G67" t="s">
        <v>1507</v>
      </c>
      <c r="H67" t="s">
        <v>1836</v>
      </c>
      <c r="K67">
        <f>F67*('CPI USA'!$E$12)*('CPI USA'!$B$80/'CPI USA'!$B$74)</f>
        <v>15.798051954902094</v>
      </c>
    </row>
    <row r="68" spans="1:14" hidden="1">
      <c r="A68">
        <v>456</v>
      </c>
      <c r="B68">
        <v>2015</v>
      </c>
      <c r="C68" t="s">
        <v>1528</v>
      </c>
      <c r="D68">
        <v>0.58899999999999997</v>
      </c>
      <c r="E68">
        <v>8.5</v>
      </c>
      <c r="F68">
        <v>11.945479590000001</v>
      </c>
      <c r="G68" t="s">
        <v>1507</v>
      </c>
      <c r="H68" t="s">
        <v>1836</v>
      </c>
      <c r="K68">
        <f>F68*('CPI USA'!$E$12)*('CPI USA'!$B$80/'CPI USA'!$B$74)</f>
        <v>16.785430202083475</v>
      </c>
    </row>
    <row r="69" spans="1:14">
      <c r="A69">
        <v>461</v>
      </c>
      <c r="B69">
        <v>2009</v>
      </c>
      <c r="C69" t="s">
        <v>1502</v>
      </c>
      <c r="D69">
        <v>0.18899999999999997</v>
      </c>
      <c r="E69">
        <v>10.8</v>
      </c>
      <c r="F69">
        <v>12.140623966486608</v>
      </c>
      <c r="G69" t="s">
        <v>1894</v>
      </c>
      <c r="H69" t="s">
        <v>1895</v>
      </c>
      <c r="K69">
        <f>F69*('CPI USA'!$E$12)*('CPI USA'!$B$80/'CPI USA'!$B$74)</f>
        <v>17.059641236154235</v>
      </c>
      <c r="M69" t="s">
        <v>1948</v>
      </c>
      <c r="N69">
        <f>AVERAGE(K69:K71)</f>
        <v>20.376793698739778</v>
      </c>
    </row>
    <row r="70" spans="1:14">
      <c r="A70">
        <v>461</v>
      </c>
      <c r="B70">
        <v>2009</v>
      </c>
      <c r="C70" t="s">
        <v>1502</v>
      </c>
      <c r="D70">
        <v>0.18899999999999997</v>
      </c>
      <c r="E70">
        <v>12.1</v>
      </c>
      <c r="F70">
        <v>13.601995369859996</v>
      </c>
      <c r="G70" t="s">
        <v>1894</v>
      </c>
      <c r="H70" t="s">
        <v>1896</v>
      </c>
      <c r="K70">
        <f>F70*('CPI USA'!$E$12)*('CPI USA'!$B$80/'CPI USA'!$B$74)</f>
        <v>19.113116570135762</v>
      </c>
      <c r="M70" t="s">
        <v>1950</v>
      </c>
      <c r="N70">
        <f>AVERAGE(K72:K85)</f>
        <v>26.077337810520696</v>
      </c>
    </row>
    <row r="71" spans="1:14">
      <c r="A71">
        <v>461</v>
      </c>
      <c r="B71">
        <v>2009</v>
      </c>
      <c r="C71" t="s">
        <v>1502</v>
      </c>
      <c r="D71">
        <v>0.189</v>
      </c>
      <c r="E71">
        <v>15.8</v>
      </c>
      <c r="F71">
        <v>17.761283210230406</v>
      </c>
      <c r="G71" t="s">
        <v>1894</v>
      </c>
      <c r="H71" t="s">
        <v>1897</v>
      </c>
      <c r="K71">
        <f>F71*('CPI USA'!$E$12)*('CPI USA'!$B$80/'CPI USA'!$B$74)</f>
        <v>24.957623289929341</v>
      </c>
      <c r="M71" t="s">
        <v>1951</v>
      </c>
      <c r="N71">
        <f>AVERAGE(K86:K107)</f>
        <v>33.521822542546651</v>
      </c>
    </row>
    <row r="72" spans="1:14">
      <c r="A72">
        <v>456</v>
      </c>
      <c r="B72">
        <v>2015</v>
      </c>
      <c r="C72" t="s">
        <v>1528</v>
      </c>
      <c r="D72">
        <v>0.26500000000000001</v>
      </c>
      <c r="E72">
        <v>9.6999999999999993</v>
      </c>
      <c r="F72">
        <v>13.631900238</v>
      </c>
      <c r="G72" t="s">
        <v>1507</v>
      </c>
      <c r="H72" t="s">
        <v>1839</v>
      </c>
      <c r="K72">
        <f>F72*('CPI USA'!$E$12)*('CPI USA'!$B$80/'CPI USA'!$B$74)</f>
        <v>19.155137995318789</v>
      </c>
      <c r="M72" t="s">
        <v>1952</v>
      </c>
      <c r="N72">
        <f>AVERAGE(K108:K113)</f>
        <v>47.910291678813984</v>
      </c>
    </row>
    <row r="73" spans="1:14">
      <c r="A73">
        <v>456</v>
      </c>
      <c r="B73">
        <v>2015</v>
      </c>
      <c r="C73" t="s">
        <v>1528</v>
      </c>
      <c r="D73">
        <v>0.26500000000000001</v>
      </c>
      <c r="E73">
        <v>7</v>
      </c>
      <c r="F73">
        <v>9.8374537800000024</v>
      </c>
      <c r="G73" t="s">
        <v>1507</v>
      </c>
      <c r="H73" t="s">
        <v>1840</v>
      </c>
      <c r="K73">
        <f>F73*('CPI USA'!$E$12)*('CPI USA'!$B$80/'CPI USA'!$B$74)</f>
        <v>13.823295460539336</v>
      </c>
      <c r="M73" t="s">
        <v>1953</v>
      </c>
      <c r="N73">
        <f>AVERAGE(K114:K115)</f>
        <v>40.358688294790802</v>
      </c>
    </row>
    <row r="74" spans="1:14" ht="15">
      <c r="A74">
        <v>456</v>
      </c>
      <c r="B74">
        <v>2015</v>
      </c>
      <c r="C74" t="s">
        <v>1528</v>
      </c>
      <c r="D74">
        <v>0.26600000000000001</v>
      </c>
      <c r="E74">
        <v>10.4</v>
      </c>
      <c r="F74">
        <v>14.615645616000004</v>
      </c>
      <c r="G74" t="s">
        <v>1507</v>
      </c>
      <c r="H74" t="s">
        <v>1838</v>
      </c>
      <c r="K74">
        <f>F74*('CPI USA'!$E$12)*('CPI USA'!$B$80/'CPI USA'!$B$74)</f>
        <v>20.537467541372727</v>
      </c>
      <c r="M74" t="s">
        <v>1965</v>
      </c>
      <c r="N74" s="112">
        <v>23.22</v>
      </c>
    </row>
    <row r="75" spans="1:14" ht="15">
      <c r="A75">
        <v>456</v>
      </c>
      <c r="B75">
        <v>2015</v>
      </c>
      <c r="C75" t="s">
        <v>1528</v>
      </c>
      <c r="D75">
        <v>0.27800000000000002</v>
      </c>
      <c r="E75">
        <v>12.3</v>
      </c>
      <c r="F75">
        <v>17.285811642000006</v>
      </c>
      <c r="G75" t="s">
        <v>1507</v>
      </c>
      <c r="H75" t="s">
        <v>1840</v>
      </c>
      <c r="K75">
        <f>F75*('CPI USA'!$E$12)*('CPI USA'!$B$80/'CPI USA'!$B$74)</f>
        <v>24.289504880661976</v>
      </c>
      <c r="M75" t="s">
        <v>1966</v>
      </c>
      <c r="N75" s="112">
        <v>36.270000000000003</v>
      </c>
    </row>
    <row r="76" spans="1:14">
      <c r="A76">
        <v>456</v>
      </c>
      <c r="B76">
        <v>2015</v>
      </c>
      <c r="C76" t="s">
        <v>1528</v>
      </c>
      <c r="D76">
        <v>0.35499999999999998</v>
      </c>
      <c r="E76">
        <v>12.7</v>
      </c>
      <c r="F76">
        <v>17.847951858000002</v>
      </c>
      <c r="G76" t="s">
        <v>1507</v>
      </c>
      <c r="H76" t="s">
        <v>1840</v>
      </c>
      <c r="K76">
        <f>F76*('CPI USA'!$E$12)*('CPI USA'!$B$80/'CPI USA'!$B$74)</f>
        <v>25.079407478407077</v>
      </c>
      <c r="M76" s="9" t="s">
        <v>1967</v>
      </c>
      <c r="N76">
        <f>N87</f>
        <v>31.07</v>
      </c>
    </row>
    <row r="77" spans="1:14">
      <c r="A77" t="s">
        <v>1879</v>
      </c>
      <c r="B77">
        <v>2015</v>
      </c>
      <c r="C77" t="s">
        <v>1528</v>
      </c>
      <c r="D77">
        <v>0.36099999999999999</v>
      </c>
      <c r="E77">
        <v>22.9</v>
      </c>
      <c r="F77">
        <v>32.182527366000002</v>
      </c>
      <c r="G77" t="s">
        <v>1507</v>
      </c>
      <c r="H77" t="s">
        <v>1837</v>
      </c>
      <c r="K77">
        <f>F77*('CPI USA'!$E$12)*('CPI USA'!$B$80/'CPI USA'!$B$74)</f>
        <v>45.221923720907249</v>
      </c>
    </row>
    <row r="78" spans="1:14" ht="15">
      <c r="A78" t="s">
        <v>1879</v>
      </c>
      <c r="B78">
        <v>2015</v>
      </c>
      <c r="C78" t="s">
        <v>1528</v>
      </c>
      <c r="D78">
        <v>0.36299999999999999</v>
      </c>
      <c r="E78">
        <v>12</v>
      </c>
      <c r="F78">
        <v>16.864206480000004</v>
      </c>
      <c r="G78" t="s">
        <v>1507</v>
      </c>
      <c r="H78" t="s">
        <v>1837</v>
      </c>
      <c r="K78">
        <f>F78*('CPI USA'!$E$12)*('CPI USA'!$B$80/'CPI USA'!$B$74)</f>
        <v>23.697077932353142</v>
      </c>
      <c r="M78" s="112" t="s">
        <v>1954</v>
      </c>
      <c r="N78" s="112" t="s">
        <v>1955</v>
      </c>
    </row>
    <row r="79" spans="1:14" ht="15">
      <c r="A79">
        <v>461</v>
      </c>
      <c r="B79">
        <v>2009</v>
      </c>
      <c r="C79" t="s">
        <v>1502</v>
      </c>
      <c r="D79">
        <v>0.36299999999999999</v>
      </c>
      <c r="E79">
        <v>21.1</v>
      </c>
      <c r="F79">
        <v>23.719182008598835</v>
      </c>
      <c r="G79" t="s">
        <v>1894</v>
      </c>
      <c r="H79" t="s">
        <v>1897</v>
      </c>
      <c r="K79">
        <f>F79*('CPI USA'!$E$12)*('CPI USA'!$B$80/'CPI USA'!$B$74)</f>
        <v>33.329484266930962</v>
      </c>
      <c r="M79" s="112" t="s">
        <v>1956</v>
      </c>
      <c r="N79" s="112">
        <v>89.33</v>
      </c>
    </row>
    <row r="80" spans="1:14" ht="15">
      <c r="A80" t="s">
        <v>1879</v>
      </c>
      <c r="B80">
        <v>2015</v>
      </c>
      <c r="C80" t="s">
        <v>1528</v>
      </c>
      <c r="D80">
        <v>0.36399999999999999</v>
      </c>
      <c r="E80">
        <v>10.4</v>
      </c>
      <c r="F80">
        <v>14.615645616000004</v>
      </c>
      <c r="G80" t="s">
        <v>1507</v>
      </c>
      <c r="H80" t="s">
        <v>1837</v>
      </c>
      <c r="K80">
        <f>F80*('CPI USA'!$E$12)*('CPI USA'!$B$80/'CPI USA'!$B$74)</f>
        <v>20.537467541372727</v>
      </c>
      <c r="M80" s="112" t="s">
        <v>1957</v>
      </c>
      <c r="N80" s="112">
        <v>77.16</v>
      </c>
    </row>
    <row r="81" spans="1:14" ht="15">
      <c r="A81">
        <v>456</v>
      </c>
      <c r="B81">
        <v>2015</v>
      </c>
      <c r="C81" t="s">
        <v>1528</v>
      </c>
      <c r="D81">
        <v>0.37</v>
      </c>
      <c r="E81">
        <v>28.9</v>
      </c>
      <c r="F81">
        <v>40.614630605999999</v>
      </c>
      <c r="G81" t="s">
        <v>1507</v>
      </c>
      <c r="H81" t="s">
        <v>1838</v>
      </c>
      <c r="K81">
        <f>F81*('CPI USA'!$E$12)*('CPI USA'!$B$80/'CPI USA'!$B$74)</f>
        <v>57.070462687083811</v>
      </c>
      <c r="M81" s="112" t="s">
        <v>1958</v>
      </c>
      <c r="N81" s="112">
        <v>71</v>
      </c>
    </row>
    <row r="82" spans="1:14" ht="15">
      <c r="A82">
        <v>456</v>
      </c>
      <c r="B82">
        <v>2015</v>
      </c>
      <c r="C82" t="s">
        <v>1528</v>
      </c>
      <c r="D82">
        <v>0.37</v>
      </c>
      <c r="E82">
        <v>11.2</v>
      </c>
      <c r="F82">
        <v>15.739926048000001</v>
      </c>
      <c r="G82" t="s">
        <v>1507</v>
      </c>
      <c r="H82" t="s">
        <v>1839</v>
      </c>
      <c r="K82">
        <f>F82*('CPI USA'!$E$12)*('CPI USA'!$B$80/'CPI USA'!$B$74)</f>
        <v>22.117272736862933</v>
      </c>
      <c r="M82" s="112" t="s">
        <v>1959</v>
      </c>
      <c r="N82" s="112">
        <v>42.72</v>
      </c>
    </row>
    <row r="83" spans="1:14" ht="15">
      <c r="A83">
        <v>456</v>
      </c>
      <c r="B83">
        <v>2015</v>
      </c>
      <c r="C83" t="s">
        <v>1528</v>
      </c>
      <c r="D83">
        <v>0.37</v>
      </c>
      <c r="E83">
        <v>8.1</v>
      </c>
      <c r="F83">
        <v>11.383339374</v>
      </c>
      <c r="G83" t="s">
        <v>1507</v>
      </c>
      <c r="H83" t="s">
        <v>1840</v>
      </c>
      <c r="K83">
        <f>F83*('CPI USA'!$E$12)*('CPI USA'!$B$80/'CPI USA'!$B$74)</f>
        <v>15.995527604338371</v>
      </c>
      <c r="M83" s="112" t="s">
        <v>1960</v>
      </c>
      <c r="N83" s="112">
        <v>37.299999999999997</v>
      </c>
    </row>
    <row r="84" spans="1:14" ht="15">
      <c r="A84">
        <v>461</v>
      </c>
      <c r="B84">
        <v>2009</v>
      </c>
      <c r="C84" t="s">
        <v>1502</v>
      </c>
      <c r="D84">
        <v>0.375</v>
      </c>
      <c r="E84">
        <v>13.4</v>
      </c>
      <c r="F84">
        <v>15.063366773233383</v>
      </c>
      <c r="G84" t="s">
        <v>1894</v>
      </c>
      <c r="H84" t="s">
        <v>1895</v>
      </c>
      <c r="K84">
        <f>F84*('CPI USA'!$E$12)*('CPI USA'!$B$80/'CPI USA'!$B$74)</f>
        <v>21.16659190411729</v>
      </c>
      <c r="M84" s="112" t="s">
        <v>1961</v>
      </c>
      <c r="N84" s="112">
        <v>100.34</v>
      </c>
    </row>
    <row r="85" spans="1:14" ht="15">
      <c r="A85">
        <v>461</v>
      </c>
      <c r="B85">
        <v>2009</v>
      </c>
      <c r="C85" t="s">
        <v>1502</v>
      </c>
      <c r="D85">
        <v>0.375</v>
      </c>
      <c r="E85">
        <v>14.6</v>
      </c>
      <c r="F85">
        <v>16.412324991731893</v>
      </c>
      <c r="G85" t="s">
        <v>1894</v>
      </c>
      <c r="H85" t="s">
        <v>1896</v>
      </c>
      <c r="K85">
        <f>F85*('CPI USA'!$E$12)*('CPI USA'!$B$80/'CPI USA'!$B$74)</f>
        <v>23.062107597023314</v>
      </c>
      <c r="M85" s="112" t="s">
        <v>1962</v>
      </c>
      <c r="N85" s="112">
        <v>57.12</v>
      </c>
    </row>
    <row r="86" spans="1:14" ht="15">
      <c r="A86">
        <v>456</v>
      </c>
      <c r="B86">
        <v>2015</v>
      </c>
      <c r="C86" t="s">
        <v>1528</v>
      </c>
      <c r="D86">
        <v>0.41499999999999998</v>
      </c>
      <c r="E86">
        <v>13.3</v>
      </c>
      <c r="F86">
        <v>18.691162182000003</v>
      </c>
      <c r="G86" t="s">
        <v>1507</v>
      </c>
      <c r="H86" t="s">
        <v>1840</v>
      </c>
      <c r="K86">
        <f>F86*('CPI USA'!$E$12)*('CPI USA'!$B$80/'CPI USA'!$B$74)</f>
        <v>26.264261375024738</v>
      </c>
      <c r="M86" s="112" t="s">
        <v>1963</v>
      </c>
      <c r="N86" s="112">
        <v>36.270000000000003</v>
      </c>
    </row>
    <row r="87" spans="1:14" ht="15">
      <c r="A87">
        <v>456</v>
      </c>
      <c r="B87">
        <v>2015</v>
      </c>
      <c r="C87" t="s">
        <v>1528</v>
      </c>
      <c r="D87">
        <v>0.45200000000000001</v>
      </c>
      <c r="E87">
        <v>8.1</v>
      </c>
      <c r="F87">
        <v>11.383339374</v>
      </c>
      <c r="G87" t="s">
        <v>1507</v>
      </c>
      <c r="H87" t="s">
        <v>1841</v>
      </c>
      <c r="K87">
        <f>F87*('CPI USA'!$E$12)*('CPI USA'!$B$80/'CPI USA'!$B$74)</f>
        <v>15.995527604338371</v>
      </c>
      <c r="M87" s="112" t="s">
        <v>1964</v>
      </c>
      <c r="N87" s="112">
        <v>31.07</v>
      </c>
    </row>
    <row r="88" spans="1:14" ht="15">
      <c r="A88">
        <v>456</v>
      </c>
      <c r="B88">
        <v>2015</v>
      </c>
      <c r="C88" t="s">
        <v>1528</v>
      </c>
      <c r="D88">
        <v>0.45400000000000001</v>
      </c>
      <c r="E88">
        <v>11.8</v>
      </c>
      <c r="F88">
        <v>16.583136372000006</v>
      </c>
      <c r="G88" t="s">
        <v>1507</v>
      </c>
      <c r="H88" t="s">
        <v>1841</v>
      </c>
      <c r="K88">
        <f>F88*('CPI USA'!$E$12)*('CPI USA'!$B$80/'CPI USA'!$B$74)</f>
        <v>23.302126633480597</v>
      </c>
      <c r="M88" s="112" t="s">
        <v>1819</v>
      </c>
      <c r="N88" s="112">
        <v>23.22</v>
      </c>
    </row>
    <row r="89" spans="1:14">
      <c r="A89">
        <v>456</v>
      </c>
      <c r="B89">
        <v>2015</v>
      </c>
      <c r="C89" t="s">
        <v>1528</v>
      </c>
      <c r="D89">
        <v>0.46</v>
      </c>
      <c r="E89">
        <v>13.6</v>
      </c>
      <c r="F89">
        <v>19.112767344000002</v>
      </c>
      <c r="G89" t="s">
        <v>1507</v>
      </c>
      <c r="H89" t="s">
        <v>1840</v>
      </c>
      <c r="K89">
        <f>F89*('CPI USA'!$E$12)*('CPI USA'!$B$80/'CPI USA'!$B$74)</f>
        <v>26.856688323333561</v>
      </c>
    </row>
    <row r="90" spans="1:14">
      <c r="A90">
        <v>456</v>
      </c>
      <c r="B90">
        <v>2015</v>
      </c>
      <c r="C90" t="s">
        <v>1528</v>
      </c>
      <c r="D90">
        <v>0.46</v>
      </c>
      <c r="E90">
        <v>14.4</v>
      </c>
      <c r="F90">
        <v>20.237047776000001</v>
      </c>
      <c r="G90" t="s">
        <v>1507</v>
      </c>
      <c r="H90" t="s">
        <v>1840</v>
      </c>
      <c r="K90">
        <f>F90*('CPI USA'!$E$12)*('CPI USA'!$B$80/'CPI USA'!$B$74)</f>
        <v>28.436493518823774</v>
      </c>
    </row>
    <row r="91" spans="1:14">
      <c r="A91">
        <v>456</v>
      </c>
      <c r="B91">
        <v>2015</v>
      </c>
      <c r="C91" t="s">
        <v>1528</v>
      </c>
      <c r="D91">
        <v>0.47</v>
      </c>
      <c r="E91">
        <v>17.399999999999999</v>
      </c>
      <c r="F91">
        <v>24.453099396000002</v>
      </c>
      <c r="G91" t="s">
        <v>1507</v>
      </c>
      <c r="H91" t="s">
        <v>1839</v>
      </c>
      <c r="K91">
        <f>F91*('CPI USA'!$E$12)*('CPI USA'!$B$80/'CPI USA'!$B$74)</f>
        <v>34.360763001912055</v>
      </c>
    </row>
    <row r="92" spans="1:14">
      <c r="A92" t="s">
        <v>1879</v>
      </c>
      <c r="B92">
        <v>2015</v>
      </c>
      <c r="C92" t="s">
        <v>1528</v>
      </c>
      <c r="D92">
        <v>0.47099999999999997</v>
      </c>
      <c r="E92">
        <v>35.700000000000003</v>
      </c>
      <c r="F92">
        <v>50.171014278000008</v>
      </c>
      <c r="G92" t="s">
        <v>1507</v>
      </c>
      <c r="H92" t="s">
        <v>1837</v>
      </c>
      <c r="K92">
        <f>F92*('CPI USA'!$E$12)*('CPI USA'!$B$80/'CPI USA'!$B$74)</f>
        <v>70.498806848750604</v>
      </c>
    </row>
    <row r="93" spans="1:14">
      <c r="A93">
        <v>456</v>
      </c>
      <c r="B93">
        <v>2015</v>
      </c>
      <c r="C93" t="s">
        <v>1528</v>
      </c>
      <c r="D93">
        <v>0.505</v>
      </c>
      <c r="E93">
        <v>43.5</v>
      </c>
      <c r="F93">
        <v>61.132748490000004</v>
      </c>
      <c r="G93" t="s">
        <v>1507</v>
      </c>
      <c r="H93" t="s">
        <v>1838</v>
      </c>
      <c r="K93">
        <f>F93*('CPI USA'!$E$12)*('CPI USA'!$B$80/'CPI USA'!$B$74)</f>
        <v>85.901907504780141</v>
      </c>
    </row>
    <row r="94" spans="1:14">
      <c r="A94" t="s">
        <v>1879</v>
      </c>
      <c r="B94">
        <v>2015</v>
      </c>
      <c r="C94" t="s">
        <v>1528</v>
      </c>
      <c r="D94">
        <v>0.51300000000000001</v>
      </c>
      <c r="E94">
        <v>12.2</v>
      </c>
      <c r="F94">
        <v>17.145276587999998</v>
      </c>
      <c r="G94" t="s">
        <v>1507</v>
      </c>
      <c r="H94" t="s">
        <v>1837</v>
      </c>
      <c r="K94">
        <f>F94*('CPI USA'!$E$12)*('CPI USA'!$B$80/'CPI USA'!$B$74)</f>
        <v>24.092029231225691</v>
      </c>
    </row>
    <row r="95" spans="1:14">
      <c r="A95" t="s">
        <v>1879</v>
      </c>
      <c r="B95">
        <v>2015</v>
      </c>
      <c r="C95" t="s">
        <v>1528</v>
      </c>
      <c r="D95">
        <v>0.51400000000000001</v>
      </c>
      <c r="E95">
        <v>11.1</v>
      </c>
      <c r="F95">
        <v>15.599390994000002</v>
      </c>
      <c r="G95" t="s">
        <v>1507</v>
      </c>
      <c r="H95" t="s">
        <v>1837</v>
      </c>
      <c r="K95">
        <f>F95*('CPI USA'!$E$12)*('CPI USA'!$B$80/'CPI USA'!$B$74)</f>
        <v>21.919797087426659</v>
      </c>
    </row>
    <row r="96" spans="1:14">
      <c r="A96" t="s">
        <v>1879</v>
      </c>
      <c r="B96">
        <v>2015</v>
      </c>
      <c r="C96" t="s">
        <v>1528</v>
      </c>
      <c r="D96">
        <v>0.51800000000000002</v>
      </c>
      <c r="E96">
        <v>24.4</v>
      </c>
      <c r="F96">
        <v>34.290553175999996</v>
      </c>
      <c r="G96" t="s">
        <v>1507</v>
      </c>
      <c r="H96" t="s">
        <v>1837</v>
      </c>
      <c r="K96">
        <f>F96*('CPI USA'!$E$12)*('CPI USA'!$B$80/'CPI USA'!$B$74)</f>
        <v>48.184058462451382</v>
      </c>
    </row>
    <row r="97" spans="1:11">
      <c r="A97" t="s">
        <v>1879</v>
      </c>
      <c r="B97">
        <v>2015</v>
      </c>
      <c r="C97" t="s">
        <v>1528</v>
      </c>
      <c r="D97">
        <v>0.51900000000000002</v>
      </c>
      <c r="E97">
        <v>25.2</v>
      </c>
      <c r="F97">
        <v>35.414833608000002</v>
      </c>
      <c r="G97" t="s">
        <v>1507</v>
      </c>
      <c r="H97" t="s">
        <v>1837</v>
      </c>
      <c r="K97">
        <f>F97*('CPI USA'!$E$12)*('CPI USA'!$B$80/'CPI USA'!$B$74)</f>
        <v>49.763863657941599</v>
      </c>
    </row>
    <row r="98" spans="1:11">
      <c r="A98">
        <v>456</v>
      </c>
      <c r="B98">
        <v>2015</v>
      </c>
      <c r="C98" t="s">
        <v>1528</v>
      </c>
      <c r="D98">
        <v>0.52800000000000002</v>
      </c>
      <c r="E98">
        <v>5.8</v>
      </c>
      <c r="F98">
        <v>8.1510331320000002</v>
      </c>
      <c r="G98" t="s">
        <v>1507</v>
      </c>
      <c r="H98" t="s">
        <v>1841</v>
      </c>
      <c r="K98">
        <f>F98*('CPI USA'!$E$12)*('CPI USA'!$B$80/'CPI USA'!$B$74)</f>
        <v>11.453587667304019</v>
      </c>
    </row>
    <row r="99" spans="1:11">
      <c r="A99">
        <v>456</v>
      </c>
      <c r="B99">
        <v>2015</v>
      </c>
      <c r="C99" t="s">
        <v>1528</v>
      </c>
      <c r="D99">
        <v>0.53</v>
      </c>
      <c r="E99">
        <v>10.4</v>
      </c>
      <c r="F99">
        <v>14.615645616000004</v>
      </c>
      <c r="G99" t="s">
        <v>1507</v>
      </c>
      <c r="H99" t="s">
        <v>1841</v>
      </c>
      <c r="K99">
        <f>F99*('CPI USA'!$E$12)*('CPI USA'!$B$80/'CPI USA'!$B$74)</f>
        <v>20.537467541372727</v>
      </c>
    </row>
    <row r="100" spans="1:11">
      <c r="A100">
        <v>461</v>
      </c>
      <c r="B100">
        <v>2009</v>
      </c>
      <c r="C100" t="s">
        <v>1502</v>
      </c>
      <c r="D100">
        <v>0.53299999999999992</v>
      </c>
      <c r="E100">
        <v>26.3</v>
      </c>
      <c r="F100">
        <v>29.564667622092387</v>
      </c>
      <c r="G100" t="s">
        <v>1894</v>
      </c>
      <c r="H100" t="s">
        <v>1897</v>
      </c>
      <c r="K100">
        <f>F100*('CPI USA'!$E$12)*('CPI USA'!$B$80/'CPI USA'!$B$74)</f>
        <v>41.543385602857072</v>
      </c>
    </row>
    <row r="101" spans="1:11">
      <c r="A101">
        <v>456</v>
      </c>
      <c r="B101">
        <v>2015</v>
      </c>
      <c r="C101" t="s">
        <v>1528</v>
      </c>
      <c r="D101">
        <v>0.53900000000000003</v>
      </c>
      <c r="E101">
        <v>14.6</v>
      </c>
      <c r="F101">
        <v>20.518117884000002</v>
      </c>
      <c r="G101" t="s">
        <v>1507</v>
      </c>
      <c r="H101" t="s">
        <v>1840</v>
      </c>
      <c r="K101">
        <f>F101*('CPI USA'!$E$12)*('CPI USA'!$B$80/'CPI USA'!$B$74)</f>
        <v>28.831444817696326</v>
      </c>
    </row>
    <row r="102" spans="1:11">
      <c r="A102">
        <v>456</v>
      </c>
      <c r="B102">
        <v>2015</v>
      </c>
      <c r="C102" t="s">
        <v>1528</v>
      </c>
      <c r="D102">
        <v>0.53900000000000003</v>
      </c>
      <c r="E102">
        <v>17.100000000000001</v>
      </c>
      <c r="F102">
        <v>24.031494234000004</v>
      </c>
      <c r="G102" t="s">
        <v>1507</v>
      </c>
      <c r="H102" t="s">
        <v>1840</v>
      </c>
      <c r="K102">
        <f>F102*('CPI USA'!$E$12)*('CPI USA'!$B$80/'CPI USA'!$B$74)</f>
        <v>33.768336053603228</v>
      </c>
    </row>
    <row r="103" spans="1:11">
      <c r="A103">
        <v>461</v>
      </c>
      <c r="B103">
        <v>2009</v>
      </c>
      <c r="C103" t="s">
        <v>1502</v>
      </c>
      <c r="D103">
        <v>0.55299999999999994</v>
      </c>
      <c r="E103">
        <v>17.5</v>
      </c>
      <c r="F103">
        <v>19.672307353103299</v>
      </c>
      <c r="G103" t="s">
        <v>1894</v>
      </c>
      <c r="H103" t="s">
        <v>1896</v>
      </c>
      <c r="K103">
        <f>F103*('CPI USA'!$E$12)*('CPI USA'!$B$80/'CPI USA'!$B$74)</f>
        <v>27.64293718821288</v>
      </c>
    </row>
    <row r="104" spans="1:11">
      <c r="A104">
        <v>461</v>
      </c>
      <c r="B104">
        <v>2009</v>
      </c>
      <c r="C104" t="s">
        <v>1502</v>
      </c>
      <c r="D104">
        <v>0.55899999999999994</v>
      </c>
      <c r="E104">
        <v>15.9</v>
      </c>
      <c r="F104">
        <v>17.873696395105284</v>
      </c>
      <c r="G104" t="s">
        <v>1894</v>
      </c>
      <c r="H104" t="s">
        <v>1895</v>
      </c>
      <c r="K104">
        <f>F104*('CPI USA'!$E$12)*('CPI USA'!$B$80/'CPI USA'!$B$74)</f>
        <v>25.115582931004845</v>
      </c>
    </row>
    <row r="105" spans="1:11">
      <c r="A105">
        <v>456</v>
      </c>
      <c r="B105">
        <v>2015</v>
      </c>
      <c r="C105" t="s">
        <v>1528</v>
      </c>
      <c r="D105">
        <v>0.56100000000000005</v>
      </c>
      <c r="E105">
        <v>22.5</v>
      </c>
      <c r="F105">
        <v>31.620387150000003</v>
      </c>
      <c r="G105" t="s">
        <v>1507</v>
      </c>
      <c r="H105" t="s">
        <v>1840</v>
      </c>
      <c r="K105">
        <f>F105*('CPI USA'!$E$12)*('CPI USA'!$B$80/'CPI USA'!$B$74)</f>
        <v>44.432021123162144</v>
      </c>
    </row>
    <row r="106" spans="1:11">
      <c r="A106">
        <v>456</v>
      </c>
      <c r="B106">
        <v>2015</v>
      </c>
      <c r="C106" t="s">
        <v>1528</v>
      </c>
      <c r="D106">
        <v>0.58899999999999997</v>
      </c>
      <c r="E106">
        <v>10</v>
      </c>
      <c r="F106">
        <v>14.053505400000001</v>
      </c>
      <c r="G106" t="s">
        <v>1507</v>
      </c>
      <c r="H106" t="s">
        <v>1841</v>
      </c>
      <c r="K106">
        <f>F106*('CPI USA'!$E$12)*('CPI USA'!$B$80/'CPI USA'!$B$74)</f>
        <v>19.747564943627616</v>
      </c>
    </row>
    <row r="107" spans="1:11">
      <c r="A107">
        <v>456</v>
      </c>
      <c r="B107">
        <v>2015</v>
      </c>
      <c r="C107" t="s">
        <v>1528</v>
      </c>
      <c r="D107">
        <v>0.59</v>
      </c>
      <c r="E107">
        <v>14.6</v>
      </c>
      <c r="F107">
        <v>20.518117884000002</v>
      </c>
      <c r="G107" t="s">
        <v>1507</v>
      </c>
      <c r="H107" t="s">
        <v>1841</v>
      </c>
      <c r="K107">
        <f>F107*('CPI USA'!$E$12)*('CPI USA'!$B$80/'CPI USA'!$B$74)</f>
        <v>28.831444817696326</v>
      </c>
    </row>
    <row r="108" spans="1:11">
      <c r="A108">
        <v>456</v>
      </c>
      <c r="B108">
        <v>2015</v>
      </c>
      <c r="C108" t="s">
        <v>1528</v>
      </c>
      <c r="D108">
        <v>0.60199999999999998</v>
      </c>
      <c r="E108">
        <v>29</v>
      </c>
      <c r="F108">
        <v>40.755165660000003</v>
      </c>
      <c r="G108" t="s">
        <v>1507</v>
      </c>
      <c r="H108" t="s">
        <v>1840</v>
      </c>
      <c r="K108">
        <f>F108*('CPI USA'!$E$12)*('CPI USA'!$B$80/'CPI USA'!$B$74)</f>
        <v>57.267938336520096</v>
      </c>
    </row>
    <row r="109" spans="1:11">
      <c r="A109">
        <v>456</v>
      </c>
      <c r="B109">
        <v>2015</v>
      </c>
      <c r="C109" t="s">
        <v>1528</v>
      </c>
      <c r="D109">
        <v>0.60199999999999998</v>
      </c>
      <c r="E109">
        <v>27.3</v>
      </c>
      <c r="F109">
        <v>38.366069742000008</v>
      </c>
      <c r="G109" t="s">
        <v>1507</v>
      </c>
      <c r="H109" t="s">
        <v>1840</v>
      </c>
      <c r="K109">
        <f>F109*('CPI USA'!$E$12)*('CPI USA'!$B$80/'CPI USA'!$B$74)</f>
        <v>53.910852296103407</v>
      </c>
    </row>
    <row r="110" spans="1:11">
      <c r="A110">
        <v>461</v>
      </c>
      <c r="B110">
        <v>2009</v>
      </c>
      <c r="C110" t="s">
        <v>1502</v>
      </c>
      <c r="D110">
        <v>0.66799999999999993</v>
      </c>
      <c r="E110">
        <v>32.4</v>
      </c>
      <c r="F110">
        <v>36.421871899459823</v>
      </c>
      <c r="G110" t="s">
        <v>1894</v>
      </c>
      <c r="H110" t="s">
        <v>1897</v>
      </c>
      <c r="K110">
        <f>F110*('CPI USA'!$E$12)*('CPI USA'!$B$80/'CPI USA'!$B$74)</f>
        <v>51.178923708462705</v>
      </c>
    </row>
    <row r="111" spans="1:11">
      <c r="A111">
        <v>461</v>
      </c>
      <c r="B111">
        <v>2009</v>
      </c>
      <c r="C111" t="s">
        <v>1502</v>
      </c>
      <c r="D111">
        <v>0.71900000000000008</v>
      </c>
      <c r="E111">
        <v>20.8</v>
      </c>
      <c r="F111">
        <v>23.381942453974208</v>
      </c>
      <c r="G111" t="s">
        <v>1894</v>
      </c>
      <c r="H111" t="s">
        <v>1896</v>
      </c>
      <c r="K111">
        <f>F111*('CPI USA'!$E$12)*('CPI USA'!$B$80/'CPI USA'!$B$74)</f>
        <v>32.855605343704454</v>
      </c>
    </row>
    <row r="112" spans="1:11">
      <c r="A112">
        <v>461</v>
      </c>
      <c r="B112">
        <v>2009</v>
      </c>
      <c r="C112" t="s">
        <v>1502</v>
      </c>
      <c r="D112">
        <v>0.72699999999999998</v>
      </c>
      <c r="E112">
        <v>18.7</v>
      </c>
      <c r="F112">
        <v>21.021265571601809</v>
      </c>
      <c r="G112" t="s">
        <v>1894</v>
      </c>
      <c r="H112" t="s">
        <v>1895</v>
      </c>
      <c r="K112">
        <f>F112*('CPI USA'!$E$12)*('CPI USA'!$B$80/'CPI USA'!$B$74)</f>
        <v>29.538452881118904</v>
      </c>
    </row>
    <row r="113" spans="1:11">
      <c r="A113">
        <v>461</v>
      </c>
      <c r="B113">
        <v>2009</v>
      </c>
      <c r="C113" t="s">
        <v>1502</v>
      </c>
      <c r="D113">
        <v>0.76200000000000001</v>
      </c>
      <c r="E113">
        <v>39.700000000000003</v>
      </c>
      <c r="F113">
        <v>44.62803439532577</v>
      </c>
      <c r="G113" t="s">
        <v>1894</v>
      </c>
      <c r="H113" t="s">
        <v>1897</v>
      </c>
      <c r="K113">
        <f>F113*('CPI USA'!$E$12)*('CPI USA'!$B$80/'CPI USA'!$B$74)</f>
        <v>62.709977506974361</v>
      </c>
    </row>
    <row r="114" spans="1:11">
      <c r="A114">
        <v>461</v>
      </c>
      <c r="B114">
        <v>2009</v>
      </c>
      <c r="C114" t="s">
        <v>1502</v>
      </c>
      <c r="D114">
        <v>0.82900000000000007</v>
      </c>
      <c r="E114">
        <v>26.8</v>
      </c>
      <c r="F114">
        <v>30.126733546466767</v>
      </c>
      <c r="G114" t="s">
        <v>1894</v>
      </c>
      <c r="H114" t="s">
        <v>1896</v>
      </c>
      <c r="K114">
        <f>F114*('CPI USA'!$E$12)*('CPI USA'!$B$80/'CPI USA'!$B$74)</f>
        <v>42.33318380823458</v>
      </c>
    </row>
    <row r="115" spans="1:11">
      <c r="A115">
        <v>461</v>
      </c>
      <c r="B115">
        <v>2009</v>
      </c>
      <c r="C115" t="s">
        <v>1502</v>
      </c>
      <c r="D115">
        <v>0.83099999999999996</v>
      </c>
      <c r="E115">
        <v>24.3</v>
      </c>
      <c r="F115">
        <v>27.316403924594866</v>
      </c>
      <c r="G115" t="s">
        <v>1894</v>
      </c>
      <c r="H115" t="s">
        <v>1895</v>
      </c>
      <c r="K115">
        <f>F115*('CPI USA'!$E$12)*('CPI USA'!$B$80/'CPI USA'!$B$74)</f>
        <v>38.384192781347025</v>
      </c>
    </row>
  </sheetData>
  <autoFilter ref="A2:K115" xr:uid="{D9CD1BA1-D718-42C8-BAEE-FD322CF2E891}">
    <filterColumn colId="7">
      <filters>
        <filter val="Solar 20, Wind 80"/>
        <filter val="Solar 50, Wind 50"/>
        <filter val="Solar 80, Wind 20"/>
        <filter val="Solar PV, CCC 2015"/>
        <filter val="Solar PV, Fast progress"/>
        <filter val="Solar PV, Maximum progress"/>
        <filter val="Solar PV, Moderate progress"/>
        <filter val="Solar PV, No progress"/>
      </filters>
    </filterColumn>
    <sortState xmlns:xlrd2="http://schemas.microsoft.com/office/spreadsheetml/2017/richdata2" ref="A69:K115">
      <sortCondition ref="D2:D115"/>
    </sortState>
  </autoFilter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82"/>
  <sheetViews>
    <sheetView topLeftCell="B3" zoomScaleNormal="100" workbookViewId="0">
      <selection activeCell="G84" sqref="G84"/>
    </sheetView>
  </sheetViews>
  <sheetFormatPr baseColWidth="10" defaultColWidth="8.83203125" defaultRowHeight="13"/>
  <cols>
    <col min="1" max="1" width="9.1640625"/>
    <col min="2" max="2" width="24.1640625" customWidth="1"/>
    <col min="3" max="3" width="19.1640625" customWidth="1"/>
    <col min="4" max="4" width="31.6640625" customWidth="1"/>
  </cols>
  <sheetData>
    <row r="1" spans="1:4">
      <c r="A1" s="106" t="s">
        <v>1816</v>
      </c>
      <c r="B1" s="37" t="s">
        <v>1499</v>
      </c>
      <c r="C1" s="66" t="s">
        <v>1500</v>
      </c>
      <c r="D1" s="37" t="s">
        <v>1788</v>
      </c>
    </row>
    <row r="2" spans="1:4">
      <c r="A2" s="3">
        <v>50</v>
      </c>
      <c r="B2" s="33">
        <v>0.04</v>
      </c>
      <c r="C2" s="33">
        <v>0.34</v>
      </c>
      <c r="D2" s="17" t="s">
        <v>1277</v>
      </c>
    </row>
    <row r="3" spans="1:4">
      <c r="A3" s="3">
        <v>50</v>
      </c>
      <c r="B3" s="33">
        <v>0.08</v>
      </c>
      <c r="C3" s="33">
        <v>0.3</v>
      </c>
      <c r="D3" s="17" t="s">
        <v>1520</v>
      </c>
    </row>
    <row r="4" spans="1:4">
      <c r="A4" s="3">
        <v>50</v>
      </c>
      <c r="B4" s="33">
        <v>0.12</v>
      </c>
      <c r="C4" s="33">
        <v>0.26</v>
      </c>
      <c r="D4" s="17" t="s">
        <v>1520</v>
      </c>
    </row>
    <row r="5" spans="1:4">
      <c r="A5" s="3">
        <v>50</v>
      </c>
      <c r="B5" s="33">
        <v>0.16</v>
      </c>
      <c r="C5" s="33">
        <v>0.23</v>
      </c>
      <c r="D5" s="17" t="s">
        <v>1520</v>
      </c>
    </row>
    <row r="6" spans="1:4">
      <c r="A6" s="3">
        <v>50</v>
      </c>
      <c r="B6" s="33">
        <v>0.2</v>
      </c>
      <c r="C6" s="33">
        <v>0.2</v>
      </c>
      <c r="D6" s="17" t="s">
        <v>1520</v>
      </c>
    </row>
    <row r="7" spans="1:4">
      <c r="A7" s="3">
        <v>133</v>
      </c>
      <c r="B7" s="33">
        <v>1.6E-2</v>
      </c>
      <c r="C7" s="33">
        <v>0.34499999999999997</v>
      </c>
      <c r="D7" s="17" t="s">
        <v>1520</v>
      </c>
    </row>
    <row r="8" spans="1:4">
      <c r="A8" s="3">
        <v>133</v>
      </c>
      <c r="B8" s="33">
        <v>0.28000000000000003</v>
      </c>
      <c r="C8" s="33">
        <v>0.14899999999999999</v>
      </c>
      <c r="D8" s="17" t="s">
        <v>1520</v>
      </c>
    </row>
    <row r="9" spans="1:4">
      <c r="A9" s="3">
        <v>133</v>
      </c>
      <c r="B9" s="33">
        <v>0.28000000000000003</v>
      </c>
      <c r="C9" s="33">
        <v>0.10299999999999999</v>
      </c>
      <c r="D9" s="17" t="s">
        <v>1520</v>
      </c>
    </row>
    <row r="10" spans="1:4">
      <c r="A10" s="3">
        <v>133</v>
      </c>
      <c r="B10" s="33">
        <v>7.1999999999999995E-2</v>
      </c>
      <c r="C10" s="33">
        <v>0.34100000000000003</v>
      </c>
      <c r="D10" s="17" t="s">
        <v>1520</v>
      </c>
    </row>
    <row r="11" spans="1:4">
      <c r="A11" s="3">
        <v>133</v>
      </c>
      <c r="B11" s="33">
        <v>0.14199999999999999</v>
      </c>
      <c r="C11" s="33">
        <v>0.30199999999999999</v>
      </c>
      <c r="D11" s="17" t="s">
        <v>1520</v>
      </c>
    </row>
    <row r="12" spans="1:4">
      <c r="A12" s="3">
        <v>133</v>
      </c>
      <c r="B12" s="33">
        <v>0.214</v>
      </c>
      <c r="C12" s="33">
        <v>0.26</v>
      </c>
      <c r="D12" s="17" t="s">
        <v>1520</v>
      </c>
    </row>
    <row r="13" spans="1:4">
      <c r="A13" s="3">
        <v>133</v>
      </c>
      <c r="B13" s="33">
        <v>0.28599999999999998</v>
      </c>
      <c r="C13" s="33">
        <v>0.23100000000000001</v>
      </c>
      <c r="D13" s="17" t="s">
        <v>1520</v>
      </c>
    </row>
    <row r="14" spans="1:4">
      <c r="A14" s="3">
        <v>133</v>
      </c>
      <c r="B14" s="33">
        <v>0.35599999999999998</v>
      </c>
      <c r="C14" s="33">
        <v>0.20100000000000001</v>
      </c>
      <c r="D14" s="17" t="s">
        <v>1520</v>
      </c>
    </row>
    <row r="15" spans="1:4">
      <c r="A15" s="3">
        <v>133</v>
      </c>
      <c r="B15" s="33">
        <v>0.29799999999999999</v>
      </c>
      <c r="C15" s="33">
        <v>0.20200000000000001</v>
      </c>
      <c r="D15" s="17" t="s">
        <v>1520</v>
      </c>
    </row>
    <row r="16" spans="1:4">
      <c r="A16" s="3">
        <v>133</v>
      </c>
      <c r="B16" s="33">
        <v>0.29799999999999999</v>
      </c>
      <c r="C16" s="33">
        <v>5.2999999999999999E-2</v>
      </c>
      <c r="D16" s="17" t="s">
        <v>1520</v>
      </c>
    </row>
    <row r="17" spans="1:4">
      <c r="A17" s="3">
        <v>133</v>
      </c>
      <c r="B17" s="33">
        <v>0.04</v>
      </c>
      <c r="C17" s="33">
        <v>0.252</v>
      </c>
      <c r="D17" s="16" t="s">
        <v>1520</v>
      </c>
    </row>
    <row r="18" spans="1:4">
      <c r="A18" s="3">
        <v>118</v>
      </c>
      <c r="B18" s="33">
        <v>0.1</v>
      </c>
      <c r="C18" s="33">
        <v>0.08</v>
      </c>
      <c r="D18" s="17" t="s">
        <v>1520</v>
      </c>
    </row>
    <row r="19" spans="1:4">
      <c r="A19" s="3">
        <v>118</v>
      </c>
      <c r="B19" s="33">
        <v>0.1</v>
      </c>
      <c r="C19" s="33">
        <v>0.14000000000000001</v>
      </c>
      <c r="D19" s="17" t="s">
        <v>1520</v>
      </c>
    </row>
    <row r="20" spans="1:4">
      <c r="A20" s="3">
        <v>118</v>
      </c>
      <c r="B20" s="33">
        <v>0.03</v>
      </c>
      <c r="C20" s="33">
        <v>0.19</v>
      </c>
      <c r="D20" s="17" t="s">
        <v>1520</v>
      </c>
    </row>
    <row r="21" spans="1:4">
      <c r="A21" s="3">
        <v>118</v>
      </c>
      <c r="B21" s="33">
        <v>0.04</v>
      </c>
      <c r="C21" s="33">
        <v>0.13</v>
      </c>
      <c r="D21" s="17" t="s">
        <v>1520</v>
      </c>
    </row>
    <row r="22" spans="1:4">
      <c r="A22" s="3">
        <v>118</v>
      </c>
      <c r="B22" s="33">
        <v>0.09</v>
      </c>
      <c r="C22" s="33">
        <v>0.08</v>
      </c>
      <c r="D22" s="17" t="s">
        <v>1520</v>
      </c>
    </row>
    <row r="23" spans="1:4">
      <c r="A23" s="3">
        <v>118</v>
      </c>
      <c r="B23" s="33">
        <v>0.13</v>
      </c>
      <c r="C23" s="33">
        <v>0.06</v>
      </c>
      <c r="D23" s="17" t="s">
        <v>1520</v>
      </c>
    </row>
    <row r="24" spans="1:4">
      <c r="A24" s="3">
        <v>118</v>
      </c>
      <c r="B24" s="33">
        <v>0.04</v>
      </c>
      <c r="C24" s="33">
        <v>0.34</v>
      </c>
      <c r="D24" s="17" t="s">
        <v>1520</v>
      </c>
    </row>
    <row r="25" spans="1:4">
      <c r="A25" s="3">
        <v>118</v>
      </c>
      <c r="B25" s="33">
        <v>0.08</v>
      </c>
      <c r="C25" s="33">
        <v>0.3</v>
      </c>
      <c r="D25" s="17" t="s">
        <v>1520</v>
      </c>
    </row>
    <row r="26" spans="1:4">
      <c r="A26" s="3">
        <v>118</v>
      </c>
      <c r="B26" s="33">
        <v>0.12</v>
      </c>
      <c r="C26" s="33">
        <v>0.26</v>
      </c>
      <c r="D26" s="17" t="s">
        <v>1520</v>
      </c>
    </row>
    <row r="27" spans="1:4">
      <c r="A27" s="3">
        <v>118</v>
      </c>
      <c r="B27" s="33">
        <v>0.15</v>
      </c>
      <c r="C27" s="33">
        <v>0.23</v>
      </c>
      <c r="D27" s="17" t="s">
        <v>1520</v>
      </c>
    </row>
    <row r="28" spans="1:4">
      <c r="A28" s="3">
        <v>118</v>
      </c>
      <c r="B28" s="33">
        <v>0.19</v>
      </c>
      <c r="C28" s="33">
        <v>0.2</v>
      </c>
      <c r="D28" s="17" t="s">
        <v>1520</v>
      </c>
    </row>
    <row r="29" spans="1:4">
      <c r="A29" s="3">
        <v>118</v>
      </c>
      <c r="B29" s="33">
        <v>0.2</v>
      </c>
      <c r="C29" s="33">
        <v>0.14000000000000001</v>
      </c>
      <c r="D29" s="17" t="s">
        <v>1520</v>
      </c>
    </row>
    <row r="30" spans="1:4">
      <c r="A30" s="3">
        <v>118</v>
      </c>
      <c r="B30" s="33">
        <v>0.3</v>
      </c>
      <c r="C30" s="33">
        <v>0.16</v>
      </c>
      <c r="D30" s="17" t="s">
        <v>1520</v>
      </c>
    </row>
    <row r="31" spans="1:4">
      <c r="A31" s="3">
        <v>118</v>
      </c>
      <c r="B31" s="33">
        <v>0.2</v>
      </c>
      <c r="C31" s="33">
        <v>0.24</v>
      </c>
      <c r="D31" s="17" t="s">
        <v>1520</v>
      </c>
    </row>
    <row r="32" spans="1:4">
      <c r="A32" s="3">
        <v>118</v>
      </c>
      <c r="B32" s="33">
        <v>0.3</v>
      </c>
      <c r="C32" s="33">
        <v>0.25</v>
      </c>
      <c r="D32" s="17" t="s">
        <v>1520</v>
      </c>
    </row>
    <row r="33" spans="1:4">
      <c r="A33" s="3">
        <v>118</v>
      </c>
      <c r="B33" s="33">
        <v>0.15</v>
      </c>
      <c r="C33" s="33">
        <v>4.4999999999999998E-2</v>
      </c>
      <c r="D33" s="17" t="s">
        <v>1520</v>
      </c>
    </row>
    <row r="34" spans="1:4">
      <c r="A34" s="3">
        <v>118</v>
      </c>
      <c r="B34" s="33">
        <v>0.2</v>
      </c>
      <c r="C34" s="33">
        <v>5.0999999999999997E-2</v>
      </c>
      <c r="D34" s="17" t="s">
        <v>1520</v>
      </c>
    </row>
    <row r="35" spans="1:4">
      <c r="A35" s="3">
        <v>118</v>
      </c>
      <c r="B35" s="33">
        <v>0.25</v>
      </c>
      <c r="C35" s="33">
        <v>4.1000000000000002E-2</v>
      </c>
      <c r="D35" s="17" t="s">
        <v>1520</v>
      </c>
    </row>
    <row r="36" spans="1:4">
      <c r="A36" s="3">
        <v>118</v>
      </c>
      <c r="B36" s="33">
        <v>0.11</v>
      </c>
      <c r="C36" s="33">
        <v>0.11</v>
      </c>
      <c r="D36" s="17" t="s">
        <v>1520</v>
      </c>
    </row>
    <row r="37" spans="1:4">
      <c r="A37" s="3">
        <v>118</v>
      </c>
      <c r="B37" s="33">
        <v>0.22</v>
      </c>
      <c r="C37" s="33">
        <v>0.11</v>
      </c>
      <c r="D37" s="17" t="s">
        <v>1520</v>
      </c>
    </row>
    <row r="38" spans="1:4">
      <c r="A38" s="3">
        <v>118</v>
      </c>
      <c r="B38" s="33">
        <v>0.33</v>
      </c>
      <c r="C38" s="33">
        <v>0.11</v>
      </c>
      <c r="D38" s="17" t="s">
        <v>1520</v>
      </c>
    </row>
    <row r="39" spans="1:4">
      <c r="A39" s="3">
        <v>118</v>
      </c>
      <c r="B39" s="33">
        <v>5.0000000000000001E-3</v>
      </c>
      <c r="C39" s="33">
        <v>0.41</v>
      </c>
      <c r="D39" s="17" t="s">
        <v>1520</v>
      </c>
    </row>
    <row r="40" spans="1:4">
      <c r="A40" s="3">
        <v>118</v>
      </c>
      <c r="B40" s="33">
        <v>2.9000000000000001E-2</v>
      </c>
      <c r="C40" s="33">
        <v>0.372</v>
      </c>
      <c r="D40" s="17" t="s">
        <v>1520</v>
      </c>
    </row>
    <row r="41" spans="1:4">
      <c r="A41" s="3">
        <v>118</v>
      </c>
      <c r="B41" s="33">
        <v>6.0999999999999999E-2</v>
      </c>
      <c r="C41" s="33">
        <v>0.32700000000000001</v>
      </c>
      <c r="D41" s="17" t="s">
        <v>1520</v>
      </c>
    </row>
    <row r="42" spans="1:4">
      <c r="A42" s="1">
        <v>125</v>
      </c>
      <c r="B42" s="33">
        <v>9.0999999999999998E-2</v>
      </c>
      <c r="C42" s="33">
        <v>0.28999999999999998</v>
      </c>
      <c r="D42" s="17" t="s">
        <v>1520</v>
      </c>
    </row>
    <row r="43" spans="1:4">
      <c r="A43" s="1">
        <v>125</v>
      </c>
      <c r="B43" s="33">
        <v>0.11899999999999999</v>
      </c>
      <c r="C43" s="33">
        <v>0.26100000000000001</v>
      </c>
      <c r="D43" s="17" t="s">
        <v>1520</v>
      </c>
    </row>
    <row r="44" spans="1:4">
      <c r="A44" s="1">
        <v>125</v>
      </c>
      <c r="B44" s="33">
        <v>0.152</v>
      </c>
      <c r="C44" s="33">
        <v>0.23</v>
      </c>
      <c r="D44" s="17" t="s">
        <v>1520</v>
      </c>
    </row>
    <row r="45" spans="1:4">
      <c r="A45" s="1">
        <v>125</v>
      </c>
      <c r="B45" s="33">
        <v>0.18099999999999999</v>
      </c>
      <c r="C45" s="33">
        <v>0.20899999999999999</v>
      </c>
      <c r="D45" s="17" t="s">
        <v>1520</v>
      </c>
    </row>
    <row r="46" spans="1:4">
      <c r="A46" s="1">
        <v>125</v>
      </c>
      <c r="B46" s="33">
        <v>0.219</v>
      </c>
      <c r="C46" s="33">
        <v>0.191</v>
      </c>
      <c r="D46" s="17" t="s">
        <v>1520</v>
      </c>
    </row>
    <row r="47" spans="1:4">
      <c r="A47" s="1">
        <v>125</v>
      </c>
      <c r="B47" s="33">
        <v>5.8999999999999999E-3</v>
      </c>
      <c r="C47" s="33">
        <v>0.28000000000000003</v>
      </c>
      <c r="D47" s="17" t="s">
        <v>1520</v>
      </c>
    </row>
    <row r="48" spans="1:4">
      <c r="A48" s="1">
        <v>125</v>
      </c>
      <c r="B48" s="33">
        <v>1.17E-2</v>
      </c>
      <c r="C48" s="33">
        <v>0.22600000000000001</v>
      </c>
      <c r="D48" s="17" t="s">
        <v>1520</v>
      </c>
    </row>
    <row r="49" spans="1:4">
      <c r="A49" s="1">
        <v>125</v>
      </c>
      <c r="B49" s="33">
        <v>2.3099999999999999E-2</v>
      </c>
      <c r="C49" s="33">
        <v>0.22900000000000001</v>
      </c>
      <c r="D49" s="17" t="s">
        <v>1520</v>
      </c>
    </row>
    <row r="50" spans="1:4">
      <c r="A50" s="1">
        <v>125</v>
      </c>
      <c r="B50" s="33">
        <v>4.48E-2</v>
      </c>
      <c r="C50" s="33">
        <v>0.192</v>
      </c>
      <c r="D50" s="17" t="s">
        <v>1520</v>
      </c>
    </row>
    <row r="51" spans="1:4">
      <c r="A51" s="1">
        <v>125</v>
      </c>
      <c r="B51" s="33">
        <v>5.8999999999999999E-3</v>
      </c>
      <c r="C51" s="33">
        <v>0.21</v>
      </c>
      <c r="D51" s="17" t="s">
        <v>1520</v>
      </c>
    </row>
    <row r="52" spans="1:4">
      <c r="A52" s="1">
        <v>125</v>
      </c>
      <c r="B52" s="33">
        <v>1.17E-2</v>
      </c>
      <c r="C52" s="33">
        <v>0.17</v>
      </c>
      <c r="D52" s="17" t="s">
        <v>1520</v>
      </c>
    </row>
    <row r="53" spans="1:4">
      <c r="A53" s="1">
        <v>125</v>
      </c>
      <c r="B53" s="33">
        <v>2.3099999999999999E-2</v>
      </c>
      <c r="C53" s="33">
        <v>0.20799999999999999</v>
      </c>
      <c r="D53" s="17" t="s">
        <v>1520</v>
      </c>
    </row>
    <row r="54" spans="1:4">
      <c r="A54" s="1">
        <v>125</v>
      </c>
      <c r="B54" s="33">
        <v>4.48E-2</v>
      </c>
      <c r="C54" s="33">
        <v>0.18</v>
      </c>
      <c r="D54" s="17" t="s">
        <v>1520</v>
      </c>
    </row>
    <row r="55" spans="1:4">
      <c r="A55" s="1">
        <v>125</v>
      </c>
      <c r="B55" s="33">
        <v>5.8999999999999999E-3</v>
      </c>
      <c r="C55" s="33">
        <v>0.28899999999999998</v>
      </c>
      <c r="D55" s="17" t="s">
        <v>1520</v>
      </c>
    </row>
    <row r="56" spans="1:4">
      <c r="A56" s="1">
        <v>125</v>
      </c>
      <c r="B56" s="33">
        <v>1.17E-2</v>
      </c>
      <c r="C56" s="33">
        <v>0.20499999999999999</v>
      </c>
      <c r="D56" s="17" t="s">
        <v>1520</v>
      </c>
    </row>
    <row r="57" spans="1:4">
      <c r="A57" s="1">
        <v>125</v>
      </c>
      <c r="B57" s="33">
        <v>2.3099999999999999E-2</v>
      </c>
      <c r="C57" s="33">
        <v>0.17100000000000001</v>
      </c>
      <c r="D57" s="17" t="s">
        <v>1520</v>
      </c>
    </row>
    <row r="58" spans="1:4">
      <c r="A58" s="1">
        <v>125</v>
      </c>
      <c r="B58" s="33">
        <v>4.48E-2</v>
      </c>
      <c r="C58" s="33">
        <v>0.11700000000000001</v>
      </c>
      <c r="D58" s="17" t="s">
        <v>1520</v>
      </c>
    </row>
    <row r="59" spans="1:4">
      <c r="A59" s="1">
        <v>125</v>
      </c>
      <c r="B59" s="33">
        <v>5.8999999999999999E-3</v>
      </c>
      <c r="C59" s="33">
        <v>0.20200000000000001</v>
      </c>
      <c r="D59" s="17" t="s">
        <v>1520</v>
      </c>
    </row>
    <row r="60" spans="1:4">
      <c r="A60" s="1">
        <v>125</v>
      </c>
      <c r="B60" s="33">
        <v>1.17E-2</v>
      </c>
      <c r="C60" s="33">
        <v>0.16</v>
      </c>
      <c r="D60" s="17" t="s">
        <v>1520</v>
      </c>
    </row>
    <row r="61" spans="1:4">
      <c r="A61" s="1">
        <v>125</v>
      </c>
      <c r="B61" s="33">
        <v>2.3099999999999999E-2</v>
      </c>
      <c r="C61" s="33">
        <v>0.19700000000000001</v>
      </c>
      <c r="D61" s="17" t="s">
        <v>1520</v>
      </c>
    </row>
    <row r="62" spans="1:4">
      <c r="A62" s="1">
        <v>125</v>
      </c>
      <c r="B62" s="33">
        <v>4.48E-2</v>
      </c>
      <c r="C62" s="33">
        <v>0.16800000000000001</v>
      </c>
      <c r="D62" s="17" t="s">
        <v>1520</v>
      </c>
    </row>
    <row r="63" spans="1:4">
      <c r="A63" s="1">
        <v>125</v>
      </c>
      <c r="B63" s="33">
        <v>0.34</v>
      </c>
      <c r="C63" s="33">
        <v>0.182</v>
      </c>
      <c r="D63" s="17" t="s">
        <v>1520</v>
      </c>
    </row>
    <row r="64" spans="1:4">
      <c r="A64" s="1">
        <v>125</v>
      </c>
      <c r="B64" s="33">
        <v>0.51</v>
      </c>
      <c r="C64" s="33">
        <v>0.13300000000000001</v>
      </c>
      <c r="D64" s="17" t="s">
        <v>1520</v>
      </c>
    </row>
    <row r="65" spans="1:4">
      <c r="A65" s="1">
        <v>125</v>
      </c>
      <c r="B65" s="33">
        <v>0.68</v>
      </c>
      <c r="C65" s="33">
        <v>0.1</v>
      </c>
      <c r="D65" s="17" t="s">
        <v>1520</v>
      </c>
    </row>
    <row r="66" spans="1:4">
      <c r="A66" s="1">
        <v>125</v>
      </c>
      <c r="B66" s="33">
        <v>5.0000000000000001E-3</v>
      </c>
      <c r="C66" s="33">
        <v>0.26600000000000001</v>
      </c>
      <c r="D66" s="17" t="s">
        <v>1520</v>
      </c>
    </row>
    <row r="67" spans="1:4">
      <c r="A67" s="1">
        <v>125</v>
      </c>
      <c r="B67" s="33">
        <v>1.03E-2</v>
      </c>
      <c r="C67" s="33">
        <v>0.26600000000000001</v>
      </c>
      <c r="D67" s="17" t="s">
        <v>1520</v>
      </c>
    </row>
    <row r="68" spans="1:4">
      <c r="A68" s="1">
        <v>125</v>
      </c>
      <c r="B68" s="33">
        <v>2.5000000000000001E-2</v>
      </c>
      <c r="C68" s="33">
        <v>0.255</v>
      </c>
      <c r="D68" s="17" t="s">
        <v>1520</v>
      </c>
    </row>
    <row r="69" spans="1:4">
      <c r="A69" s="1">
        <v>125</v>
      </c>
      <c r="B69" s="33">
        <v>0.05</v>
      </c>
      <c r="C69" s="33">
        <v>0.24399999999999999</v>
      </c>
      <c r="D69" s="17" t="s">
        <v>1520</v>
      </c>
    </row>
    <row r="70" spans="1:4">
      <c r="A70" s="1">
        <v>125</v>
      </c>
      <c r="B70" s="33">
        <v>0.1</v>
      </c>
      <c r="C70" s="33">
        <v>0.23499999999999999</v>
      </c>
      <c r="D70" s="17" t="s">
        <v>1520</v>
      </c>
    </row>
    <row r="71" spans="1:4">
      <c r="A71" s="1">
        <v>125</v>
      </c>
      <c r="B71" s="33">
        <v>0.25</v>
      </c>
      <c r="C71" s="33">
        <v>0.192</v>
      </c>
      <c r="D71" s="17" t="s">
        <v>1520</v>
      </c>
    </row>
    <row r="72" spans="1:4">
      <c r="A72" s="1">
        <v>125</v>
      </c>
      <c r="B72" s="33">
        <v>0.1</v>
      </c>
      <c r="C72" s="33">
        <v>0.22</v>
      </c>
      <c r="D72" s="17" t="s">
        <v>1520</v>
      </c>
    </row>
    <row r="73" spans="1:4">
      <c r="A73" s="1">
        <v>125</v>
      </c>
      <c r="B73" s="33">
        <v>0.11</v>
      </c>
      <c r="C73" s="33">
        <v>0.28999999999999998</v>
      </c>
      <c r="D73" s="17" t="s">
        <v>1819</v>
      </c>
    </row>
    <row r="74" spans="1:4">
      <c r="A74" s="1">
        <v>125</v>
      </c>
      <c r="B74" s="33">
        <v>0.22</v>
      </c>
      <c r="C74" s="33">
        <v>0.27</v>
      </c>
      <c r="D74" s="17" t="s">
        <v>1819</v>
      </c>
    </row>
    <row r="75" spans="1:4">
      <c r="A75" s="1">
        <v>125</v>
      </c>
      <c r="B75" s="33">
        <v>0.33</v>
      </c>
      <c r="C75" s="33">
        <v>0.27</v>
      </c>
      <c r="D75" s="17" t="s">
        <v>1819</v>
      </c>
    </row>
    <row r="76" spans="1:4">
      <c r="A76" s="1">
        <v>125</v>
      </c>
      <c r="B76" s="33">
        <v>0.01</v>
      </c>
      <c r="C76" s="33">
        <v>0.65200000000000002</v>
      </c>
      <c r="D76" s="17" t="s">
        <v>1819</v>
      </c>
    </row>
    <row r="77" spans="1:4">
      <c r="A77" s="1">
        <v>125</v>
      </c>
      <c r="B77" s="33">
        <v>0.02</v>
      </c>
      <c r="C77" s="33">
        <v>0.64700000000000002</v>
      </c>
      <c r="D77" s="17" t="s">
        <v>1819</v>
      </c>
    </row>
    <row r="78" spans="1:4">
      <c r="A78" s="1">
        <v>125</v>
      </c>
      <c r="B78" s="33">
        <v>0.05</v>
      </c>
      <c r="C78" s="33">
        <v>0.623</v>
      </c>
      <c r="D78" s="17" t="s">
        <v>1819</v>
      </c>
    </row>
    <row r="79" spans="1:4">
      <c r="A79" s="1">
        <v>125</v>
      </c>
      <c r="B79" s="33">
        <v>0.1</v>
      </c>
      <c r="C79" s="33">
        <v>0.58199999999999996</v>
      </c>
      <c r="D79" s="17" t="s">
        <v>1819</v>
      </c>
    </row>
    <row r="80" spans="1:4">
      <c r="A80" s="1">
        <v>125</v>
      </c>
      <c r="B80" s="33">
        <v>0.15</v>
      </c>
      <c r="C80" s="33">
        <v>0.52400000000000002</v>
      </c>
      <c r="D80" s="17" t="s">
        <v>1819</v>
      </c>
    </row>
    <row r="81" spans="1:4">
      <c r="A81" s="1">
        <v>125</v>
      </c>
      <c r="B81" s="33">
        <v>0.19900000000000001</v>
      </c>
      <c r="C81" s="33">
        <v>0.47099999999999997</v>
      </c>
      <c r="D81" s="17" t="s">
        <v>1819</v>
      </c>
    </row>
    <row r="82" spans="1:4">
      <c r="A82" s="1">
        <v>125</v>
      </c>
      <c r="B82" s="33">
        <v>0.01</v>
      </c>
      <c r="C82" s="33">
        <v>0.77100000000000002</v>
      </c>
      <c r="D82" s="17" t="s">
        <v>1819</v>
      </c>
    </row>
    <row r="83" spans="1:4">
      <c r="A83" s="1">
        <v>125</v>
      </c>
      <c r="B83" s="33">
        <v>0.02</v>
      </c>
      <c r="C83" s="33">
        <v>0.71899999999999997</v>
      </c>
      <c r="D83" s="17" t="s">
        <v>1819</v>
      </c>
    </row>
    <row r="84" spans="1:4">
      <c r="A84" s="1">
        <v>125</v>
      </c>
      <c r="B84" s="33">
        <v>0.05</v>
      </c>
      <c r="C84" s="33">
        <v>0.64900000000000002</v>
      </c>
      <c r="D84" s="17" t="s">
        <v>1819</v>
      </c>
    </row>
    <row r="85" spans="1:4">
      <c r="A85" s="1">
        <v>125</v>
      </c>
      <c r="B85" s="33">
        <v>0.1</v>
      </c>
      <c r="C85" s="33">
        <v>0.629</v>
      </c>
      <c r="D85" s="17" t="s">
        <v>1819</v>
      </c>
    </row>
    <row r="86" spans="1:4">
      <c r="A86" s="1">
        <v>125</v>
      </c>
      <c r="B86" s="33">
        <v>0.15</v>
      </c>
      <c r="C86" s="33">
        <v>0.60099999999999998</v>
      </c>
      <c r="D86" s="17" t="s">
        <v>1819</v>
      </c>
    </row>
    <row r="87" spans="1:4">
      <c r="A87" s="1">
        <v>125</v>
      </c>
      <c r="B87" s="33">
        <v>0.2</v>
      </c>
      <c r="C87" s="33">
        <v>0.5</v>
      </c>
      <c r="D87" s="17" t="s">
        <v>1819</v>
      </c>
    </row>
    <row r="88" spans="1:4">
      <c r="A88" s="1">
        <v>125</v>
      </c>
      <c r="B88" s="33">
        <v>0.01</v>
      </c>
      <c r="C88" s="33">
        <v>0.68899999999999995</v>
      </c>
      <c r="D88" s="17" t="s">
        <v>1819</v>
      </c>
    </row>
    <row r="89" spans="1:4">
      <c r="A89" s="1">
        <v>125</v>
      </c>
      <c r="B89" s="33">
        <v>0.02</v>
      </c>
      <c r="C89" s="33">
        <v>0.72499999999999998</v>
      </c>
      <c r="D89" s="17" t="s">
        <v>1819</v>
      </c>
    </row>
    <row r="90" spans="1:4">
      <c r="A90" s="1">
        <v>125</v>
      </c>
      <c r="B90" s="33">
        <v>0.05</v>
      </c>
      <c r="C90" s="33">
        <v>0.71599999999999997</v>
      </c>
      <c r="D90" s="17" t="s">
        <v>1819</v>
      </c>
    </row>
    <row r="91" spans="1:4">
      <c r="A91" s="1">
        <v>125</v>
      </c>
      <c r="B91" s="33">
        <v>0.1</v>
      </c>
      <c r="C91" s="33">
        <v>0.61599999999999999</v>
      </c>
      <c r="D91" s="17" t="s">
        <v>1819</v>
      </c>
    </row>
    <row r="92" spans="1:4">
      <c r="A92" s="1">
        <v>125</v>
      </c>
      <c r="B92" s="33">
        <v>0.15</v>
      </c>
      <c r="C92" s="33">
        <v>0.54300000000000004</v>
      </c>
      <c r="D92" s="17" t="s">
        <v>1819</v>
      </c>
    </row>
    <row r="93" spans="1:4">
      <c r="A93" s="1">
        <v>125</v>
      </c>
      <c r="B93" s="33">
        <v>0.2</v>
      </c>
      <c r="C93" s="33">
        <v>0.48599999999999999</v>
      </c>
      <c r="D93" s="17" t="s">
        <v>1819</v>
      </c>
    </row>
    <row r="94" spans="1:4">
      <c r="A94" s="1">
        <v>125</v>
      </c>
      <c r="B94" s="33">
        <v>0.01</v>
      </c>
      <c r="C94" s="33">
        <v>0.71799999999999997</v>
      </c>
      <c r="D94" s="17" t="s">
        <v>1819</v>
      </c>
    </row>
    <row r="95" spans="1:4">
      <c r="A95" s="1">
        <v>125</v>
      </c>
      <c r="B95" s="33">
        <v>0.05</v>
      </c>
      <c r="C95" s="33">
        <v>0.64900000000000002</v>
      </c>
      <c r="D95" s="17" t="s">
        <v>1819</v>
      </c>
    </row>
    <row r="96" spans="1:4">
      <c r="A96" s="1">
        <v>125</v>
      </c>
      <c r="B96" s="33">
        <v>0.1</v>
      </c>
      <c r="C96" s="33">
        <v>0.56799999999999995</v>
      </c>
      <c r="D96" s="17" t="s">
        <v>1819</v>
      </c>
    </row>
    <row r="97" spans="1:4">
      <c r="A97" s="1">
        <v>125</v>
      </c>
      <c r="B97" s="33">
        <v>0.15</v>
      </c>
      <c r="C97" s="33">
        <v>0.48299999999999998</v>
      </c>
      <c r="D97" s="17" t="s">
        <v>1819</v>
      </c>
    </row>
    <row r="98" spans="1:4">
      <c r="A98" s="1">
        <v>125</v>
      </c>
      <c r="B98" s="33">
        <v>0.2</v>
      </c>
      <c r="C98" s="33">
        <v>0.45300000000000001</v>
      </c>
      <c r="D98" s="17" t="s">
        <v>1819</v>
      </c>
    </row>
    <row r="99" spans="1:4">
      <c r="A99" s="1">
        <v>125</v>
      </c>
      <c r="B99" s="33">
        <v>0.01</v>
      </c>
      <c r="C99" s="33">
        <v>0.68899999999999995</v>
      </c>
      <c r="D99" s="17" t="s">
        <v>1819</v>
      </c>
    </row>
    <row r="100" spans="1:4">
      <c r="A100" s="1">
        <v>125</v>
      </c>
      <c r="B100" s="33">
        <v>0.02</v>
      </c>
      <c r="C100" s="33">
        <v>0.68799999999999994</v>
      </c>
      <c r="D100" s="17" t="s">
        <v>1819</v>
      </c>
    </row>
    <row r="101" spans="1:4">
      <c r="A101" s="1">
        <v>125</v>
      </c>
      <c r="B101" s="33">
        <v>0.05</v>
      </c>
      <c r="C101" s="33">
        <v>0.66800000000000004</v>
      </c>
      <c r="D101" s="17" t="s">
        <v>1819</v>
      </c>
    </row>
    <row r="102" spans="1:4">
      <c r="A102" s="1">
        <v>125</v>
      </c>
      <c r="B102" s="33">
        <v>0.1</v>
      </c>
      <c r="C102" s="33">
        <v>0.437</v>
      </c>
      <c r="D102" s="17" t="s">
        <v>1819</v>
      </c>
    </row>
    <row r="103" spans="1:4">
      <c r="A103" s="1">
        <v>125</v>
      </c>
      <c r="B103" s="33">
        <v>0.15</v>
      </c>
      <c r="C103" s="33">
        <v>0.35299999999999998</v>
      </c>
      <c r="D103" s="17" t="s">
        <v>1819</v>
      </c>
    </row>
    <row r="104" spans="1:4">
      <c r="A104" s="1">
        <v>125</v>
      </c>
      <c r="B104" s="33">
        <v>0.2</v>
      </c>
      <c r="C104" s="33">
        <v>0.309</v>
      </c>
      <c r="D104" s="17" t="s">
        <v>1819</v>
      </c>
    </row>
    <row r="105" spans="1:4">
      <c r="A105" s="1">
        <v>125</v>
      </c>
      <c r="B105" s="33">
        <v>0.01</v>
      </c>
      <c r="C105" s="33">
        <v>0.73</v>
      </c>
      <c r="D105" s="17" t="s">
        <v>1819</v>
      </c>
    </row>
    <row r="106" spans="1:4">
      <c r="A106" s="1">
        <v>125</v>
      </c>
      <c r="B106" s="33">
        <v>0.02</v>
      </c>
      <c r="C106" s="33">
        <v>0.72099999999999997</v>
      </c>
      <c r="D106" s="17" t="s">
        <v>1819</v>
      </c>
    </row>
    <row r="107" spans="1:4">
      <c r="A107" s="1">
        <v>125</v>
      </c>
      <c r="B107" s="33">
        <v>0.05</v>
      </c>
      <c r="C107" s="33">
        <v>0.69699999999999995</v>
      </c>
      <c r="D107" s="17" t="s">
        <v>1819</v>
      </c>
    </row>
    <row r="108" spans="1:4">
      <c r="A108" s="1">
        <v>125</v>
      </c>
      <c r="B108" s="33">
        <v>0.1</v>
      </c>
      <c r="C108" s="33">
        <v>0.65</v>
      </c>
      <c r="D108" s="17" t="s">
        <v>1819</v>
      </c>
    </row>
    <row r="109" spans="1:4">
      <c r="A109" s="1">
        <v>125</v>
      </c>
      <c r="B109" s="33">
        <v>0.15</v>
      </c>
      <c r="C109" s="33">
        <v>0.58699999999999997</v>
      </c>
      <c r="D109" s="17" t="s">
        <v>1819</v>
      </c>
    </row>
    <row r="110" spans="1:4">
      <c r="A110" s="1">
        <v>125</v>
      </c>
      <c r="B110" s="33">
        <v>0.19900000000000001</v>
      </c>
      <c r="C110" s="33">
        <v>0.51700000000000002</v>
      </c>
      <c r="D110" s="17" t="s">
        <v>1819</v>
      </c>
    </row>
    <row r="111" spans="1:4">
      <c r="A111" s="1">
        <v>125</v>
      </c>
      <c r="B111" s="33">
        <v>0.01</v>
      </c>
      <c r="C111" s="33">
        <v>0.91400000000000003</v>
      </c>
      <c r="D111" s="17" t="s">
        <v>1819</v>
      </c>
    </row>
    <row r="112" spans="1:4">
      <c r="A112" s="1">
        <v>125</v>
      </c>
      <c r="B112" s="33">
        <v>0.02</v>
      </c>
      <c r="C112" s="33">
        <v>0.86</v>
      </c>
      <c r="D112" s="17" t="s">
        <v>1819</v>
      </c>
    </row>
    <row r="113" spans="1:4">
      <c r="A113" s="1">
        <v>125</v>
      </c>
      <c r="B113" s="33">
        <v>0.05</v>
      </c>
      <c r="C113" s="33">
        <v>0.79900000000000004</v>
      </c>
      <c r="D113" s="17" t="s">
        <v>1819</v>
      </c>
    </row>
    <row r="114" spans="1:4">
      <c r="A114" s="1">
        <v>125</v>
      </c>
      <c r="B114" s="33">
        <v>0.1</v>
      </c>
      <c r="C114" s="33">
        <v>0.70899999999999996</v>
      </c>
      <c r="D114" s="17" t="s">
        <v>1819</v>
      </c>
    </row>
    <row r="115" spans="1:4">
      <c r="A115" s="1">
        <v>125</v>
      </c>
      <c r="B115" s="33">
        <v>0.15</v>
      </c>
      <c r="C115" s="33">
        <v>0.68100000000000005</v>
      </c>
      <c r="D115" s="17" t="s">
        <v>1819</v>
      </c>
    </row>
    <row r="116" spans="1:4">
      <c r="A116" s="1">
        <v>125</v>
      </c>
      <c r="B116" s="33">
        <v>0.2</v>
      </c>
      <c r="C116" s="33">
        <v>0.53600000000000003</v>
      </c>
      <c r="D116" s="17" t="s">
        <v>1819</v>
      </c>
    </row>
    <row r="117" spans="1:4">
      <c r="A117" s="1">
        <v>125</v>
      </c>
      <c r="B117" s="33">
        <v>0.01</v>
      </c>
      <c r="C117" s="33">
        <v>0.79300000000000004</v>
      </c>
      <c r="D117" s="17" t="s">
        <v>1819</v>
      </c>
    </row>
    <row r="118" spans="1:4">
      <c r="A118" s="1">
        <v>125</v>
      </c>
      <c r="B118" s="33">
        <v>0.02</v>
      </c>
      <c r="C118" s="33">
        <v>0.78700000000000003</v>
      </c>
      <c r="D118" s="17" t="s">
        <v>1819</v>
      </c>
    </row>
    <row r="119" spans="1:4">
      <c r="A119" s="1">
        <v>125</v>
      </c>
      <c r="B119" s="33">
        <v>0.05</v>
      </c>
      <c r="C119" s="33">
        <v>0.78400000000000003</v>
      </c>
      <c r="D119" s="17" t="s">
        <v>1819</v>
      </c>
    </row>
    <row r="120" spans="1:4">
      <c r="A120" s="1">
        <v>125</v>
      </c>
      <c r="B120" s="33">
        <v>0.1</v>
      </c>
      <c r="C120" s="33">
        <v>0.71099999999999997</v>
      </c>
      <c r="D120" s="17" t="s">
        <v>1819</v>
      </c>
    </row>
    <row r="121" spans="1:4">
      <c r="A121" s="1">
        <v>125</v>
      </c>
      <c r="B121" s="33">
        <v>0.15</v>
      </c>
      <c r="C121" s="33">
        <v>0.64400000000000002</v>
      </c>
      <c r="D121" s="17" t="s">
        <v>1819</v>
      </c>
    </row>
    <row r="122" spans="1:4">
      <c r="A122" s="1">
        <v>125</v>
      </c>
      <c r="B122" s="33">
        <v>0.2</v>
      </c>
      <c r="C122" s="33">
        <v>0.626</v>
      </c>
      <c r="D122" s="17" t="s">
        <v>1819</v>
      </c>
    </row>
    <row r="123" spans="1:4">
      <c r="A123" s="1">
        <v>125</v>
      </c>
      <c r="B123" s="33">
        <v>0.01</v>
      </c>
      <c r="C123" s="33">
        <v>0.91</v>
      </c>
      <c r="D123" s="17" t="s">
        <v>1819</v>
      </c>
    </row>
    <row r="124" spans="1:4">
      <c r="A124" s="1">
        <v>125</v>
      </c>
      <c r="B124" s="33">
        <v>0.02</v>
      </c>
      <c r="C124" s="33">
        <v>0.86099999999999999</v>
      </c>
      <c r="D124" s="17" t="s">
        <v>1819</v>
      </c>
    </row>
    <row r="125" spans="1:4">
      <c r="A125" s="1">
        <v>125</v>
      </c>
      <c r="B125" s="33">
        <v>0.05</v>
      </c>
      <c r="C125" s="33">
        <v>0.78400000000000003</v>
      </c>
      <c r="D125" s="17" t="s">
        <v>1819</v>
      </c>
    </row>
    <row r="126" spans="1:4">
      <c r="A126" s="1">
        <v>125</v>
      </c>
      <c r="B126" s="33">
        <v>0.1</v>
      </c>
      <c r="C126" s="33">
        <v>0.63200000000000001</v>
      </c>
      <c r="D126" s="17" t="s">
        <v>1819</v>
      </c>
    </row>
    <row r="127" spans="1:4">
      <c r="A127" s="1">
        <v>125</v>
      </c>
      <c r="B127" s="33">
        <v>0.15</v>
      </c>
      <c r="C127" s="33">
        <v>0.58499999999999996</v>
      </c>
      <c r="D127" s="17" t="s">
        <v>1819</v>
      </c>
    </row>
    <row r="128" spans="1:4">
      <c r="A128" s="1">
        <v>125</v>
      </c>
      <c r="B128" s="33">
        <v>0.2</v>
      </c>
      <c r="C128" s="33">
        <v>0.53600000000000003</v>
      </c>
      <c r="D128" s="17" t="s">
        <v>1819</v>
      </c>
    </row>
    <row r="129" spans="1:4">
      <c r="A129" s="1">
        <v>125</v>
      </c>
      <c r="B129" s="33">
        <v>0.01</v>
      </c>
      <c r="C129" s="33">
        <v>0.753</v>
      </c>
      <c r="D129" s="17" t="s">
        <v>1819</v>
      </c>
    </row>
    <row r="130" spans="1:4">
      <c r="A130" s="1">
        <v>125</v>
      </c>
      <c r="B130" s="33">
        <v>0.02</v>
      </c>
      <c r="C130" s="33">
        <v>0.754</v>
      </c>
      <c r="D130" s="17" t="s">
        <v>1819</v>
      </c>
    </row>
    <row r="131" spans="1:4">
      <c r="A131" s="3">
        <v>130</v>
      </c>
      <c r="B131" s="33">
        <v>0.05</v>
      </c>
      <c r="C131" s="33">
        <v>0.753</v>
      </c>
      <c r="D131" s="17" t="s">
        <v>1819</v>
      </c>
    </row>
    <row r="132" spans="1:4">
      <c r="A132" s="3">
        <v>130</v>
      </c>
      <c r="B132" s="33">
        <v>0.1</v>
      </c>
      <c r="C132" s="33">
        <v>0.754</v>
      </c>
      <c r="D132" s="17" t="s">
        <v>1819</v>
      </c>
    </row>
    <row r="133" spans="1:4">
      <c r="A133" s="3">
        <v>130</v>
      </c>
      <c r="B133" s="33">
        <v>0.15</v>
      </c>
      <c r="C133" s="33">
        <v>0.54100000000000004</v>
      </c>
      <c r="D133" s="17" t="s">
        <v>1819</v>
      </c>
    </row>
    <row r="134" spans="1:4">
      <c r="A134" s="3">
        <v>130</v>
      </c>
      <c r="B134" s="33">
        <v>0.2</v>
      </c>
      <c r="C134" s="33">
        <v>0.43099999999999999</v>
      </c>
      <c r="D134" s="17" t="s">
        <v>1819</v>
      </c>
    </row>
    <row r="135" spans="1:4">
      <c r="A135" s="3">
        <v>130</v>
      </c>
      <c r="B135" s="33">
        <v>0.01</v>
      </c>
      <c r="C135" s="33">
        <v>0.313</v>
      </c>
      <c r="D135" s="17" t="s">
        <v>1819</v>
      </c>
    </row>
    <row r="136" spans="1:4">
      <c r="A136" s="3">
        <v>130</v>
      </c>
      <c r="B136" s="33">
        <v>0.02</v>
      </c>
      <c r="C136" s="33">
        <v>0.29299999999999998</v>
      </c>
      <c r="D136" s="17" t="s">
        <v>1819</v>
      </c>
    </row>
    <row r="137" spans="1:4">
      <c r="A137" s="3">
        <v>130</v>
      </c>
      <c r="B137" s="33">
        <v>0.05</v>
      </c>
      <c r="C137" s="33">
        <v>0.23799999999999999</v>
      </c>
      <c r="D137" s="17" t="s">
        <v>1819</v>
      </c>
    </row>
    <row r="138" spans="1:4">
      <c r="A138" s="3">
        <v>130</v>
      </c>
      <c r="B138" s="33">
        <v>0.1</v>
      </c>
      <c r="C138" s="33">
        <v>0.17100000000000001</v>
      </c>
      <c r="D138" s="17" t="s">
        <v>1819</v>
      </c>
    </row>
    <row r="139" spans="1:4">
      <c r="A139" s="3">
        <v>142</v>
      </c>
      <c r="B139" s="33">
        <v>0.15</v>
      </c>
      <c r="C139" s="33">
        <v>0.128</v>
      </c>
      <c r="D139" s="17" t="s">
        <v>1819</v>
      </c>
    </row>
    <row r="140" spans="1:4">
      <c r="A140" s="3">
        <v>142</v>
      </c>
      <c r="B140" s="33">
        <v>0.2</v>
      </c>
      <c r="C140" s="33">
        <v>0.105</v>
      </c>
      <c r="D140" s="17" t="s">
        <v>1819</v>
      </c>
    </row>
    <row r="141" spans="1:4">
      <c r="A141" s="3">
        <v>142</v>
      </c>
      <c r="B141" s="33">
        <v>0.01</v>
      </c>
      <c r="C141" s="33">
        <v>0.76</v>
      </c>
      <c r="D141" s="17" t="s">
        <v>1819</v>
      </c>
    </row>
    <row r="142" spans="1:4">
      <c r="A142" s="3">
        <v>142</v>
      </c>
      <c r="B142" s="33">
        <v>0.02</v>
      </c>
      <c r="C142" s="33">
        <v>0.58399999999999996</v>
      </c>
      <c r="D142" s="17" t="s">
        <v>1819</v>
      </c>
    </row>
    <row r="143" spans="1:4">
      <c r="A143" s="3">
        <v>142</v>
      </c>
      <c r="B143" s="33">
        <v>0.05</v>
      </c>
      <c r="C143" s="33">
        <v>0.35499999999999998</v>
      </c>
      <c r="D143" s="17" t="s">
        <v>1819</v>
      </c>
    </row>
    <row r="144" spans="1:4">
      <c r="A144" s="3">
        <v>142</v>
      </c>
      <c r="B144" s="33">
        <v>0.1</v>
      </c>
      <c r="C144" s="33">
        <v>0.17499999999999999</v>
      </c>
      <c r="D144" s="17" t="s">
        <v>1819</v>
      </c>
    </row>
    <row r="145" spans="1:4">
      <c r="A145" s="3">
        <v>142</v>
      </c>
      <c r="B145" s="33">
        <v>0.15</v>
      </c>
      <c r="C145" s="33">
        <v>8.8999999999999996E-2</v>
      </c>
      <c r="D145" s="17" t="s">
        <v>1819</v>
      </c>
    </row>
    <row r="146" spans="1:4">
      <c r="A146" s="3">
        <v>142</v>
      </c>
      <c r="B146" s="33">
        <v>0.2</v>
      </c>
      <c r="C146" s="33">
        <v>9.0999999999999998E-2</v>
      </c>
      <c r="D146" s="17" t="s">
        <v>1819</v>
      </c>
    </row>
    <row r="147" spans="1:4">
      <c r="A147" s="3">
        <v>142</v>
      </c>
      <c r="B147" s="33">
        <v>0.01</v>
      </c>
      <c r="C147" s="33">
        <v>0.76700000000000002</v>
      </c>
      <c r="D147" s="17" t="s">
        <v>1819</v>
      </c>
    </row>
    <row r="148" spans="1:4">
      <c r="A148" s="3">
        <v>142</v>
      </c>
      <c r="B148" s="33">
        <v>0.02</v>
      </c>
      <c r="C148" s="33">
        <v>0.59899999999999998</v>
      </c>
      <c r="D148" s="17" t="s">
        <v>1819</v>
      </c>
    </row>
    <row r="149" spans="1:4">
      <c r="A149" s="3">
        <v>142</v>
      </c>
      <c r="B149" s="33">
        <v>0.05</v>
      </c>
      <c r="C149" s="33">
        <v>0.495</v>
      </c>
      <c r="D149" s="17" t="s">
        <v>1819</v>
      </c>
    </row>
    <row r="150" spans="1:4">
      <c r="A150" s="3">
        <v>142</v>
      </c>
      <c r="B150" s="33">
        <v>0.1</v>
      </c>
      <c r="C150" s="33">
        <v>0.26700000000000002</v>
      </c>
      <c r="D150" s="17" t="s">
        <v>1819</v>
      </c>
    </row>
    <row r="151" spans="1:4">
      <c r="A151" s="3">
        <v>142</v>
      </c>
      <c r="B151" s="33">
        <v>0.15</v>
      </c>
      <c r="C151" s="33">
        <v>0.185</v>
      </c>
      <c r="D151" s="17" t="s">
        <v>1819</v>
      </c>
    </row>
    <row r="152" spans="1:4">
      <c r="A152" s="3">
        <v>142</v>
      </c>
      <c r="B152" s="33">
        <v>0.2</v>
      </c>
      <c r="C152" s="33">
        <v>0.18</v>
      </c>
      <c r="D152" s="17" t="s">
        <v>1819</v>
      </c>
    </row>
    <row r="153" spans="1:4">
      <c r="A153" s="3">
        <v>142</v>
      </c>
      <c r="B153" s="33">
        <v>0.01</v>
      </c>
      <c r="C153" s="33">
        <v>0.755</v>
      </c>
      <c r="D153" s="17" t="s">
        <v>1819</v>
      </c>
    </row>
    <row r="154" spans="1:4">
      <c r="A154" s="3">
        <v>142</v>
      </c>
      <c r="B154" s="33">
        <v>0.02</v>
      </c>
      <c r="C154" s="33">
        <v>0.60399999999999998</v>
      </c>
      <c r="D154" s="17" t="s">
        <v>1819</v>
      </c>
    </row>
    <row r="155" spans="1:4">
      <c r="A155" s="3">
        <v>153</v>
      </c>
      <c r="B155" s="33">
        <v>0.05</v>
      </c>
      <c r="C155" s="33">
        <v>0.33200000000000002</v>
      </c>
      <c r="D155" s="17" t="s">
        <v>1819</v>
      </c>
    </row>
    <row r="156" spans="1:4">
      <c r="A156" s="3">
        <v>153</v>
      </c>
      <c r="B156" s="33">
        <v>0.1</v>
      </c>
      <c r="C156" s="33">
        <v>0.20599999999999999</v>
      </c>
      <c r="D156" s="17" t="s">
        <v>1819</v>
      </c>
    </row>
    <row r="157" spans="1:4">
      <c r="A157" s="3">
        <v>153</v>
      </c>
      <c r="B157" s="33">
        <v>0.15</v>
      </c>
      <c r="C157" s="33">
        <v>0.10100000000000001</v>
      </c>
      <c r="D157" s="17" t="s">
        <v>1819</v>
      </c>
    </row>
    <row r="158" spans="1:4">
      <c r="A158" s="3">
        <v>158</v>
      </c>
      <c r="B158" s="33">
        <v>0.2</v>
      </c>
      <c r="C158" s="33">
        <v>6.0999999999999999E-2</v>
      </c>
      <c r="D158" s="17" t="s">
        <v>1819</v>
      </c>
    </row>
    <row r="159" spans="1:4">
      <c r="A159" s="3">
        <v>158</v>
      </c>
      <c r="B159" s="33">
        <v>0.01</v>
      </c>
      <c r="C159" s="33">
        <v>0.78100000000000003</v>
      </c>
      <c r="D159" s="17" t="s">
        <v>1819</v>
      </c>
    </row>
    <row r="160" spans="1:4">
      <c r="A160" s="3">
        <v>158</v>
      </c>
      <c r="B160" s="33">
        <v>0.02</v>
      </c>
      <c r="C160" s="33">
        <v>0.64900000000000002</v>
      </c>
      <c r="D160" s="17" t="s">
        <v>1819</v>
      </c>
    </row>
    <row r="161" spans="1:4">
      <c r="A161" s="3">
        <v>158</v>
      </c>
      <c r="B161" s="33">
        <v>0.05</v>
      </c>
      <c r="C161" s="33">
        <v>0.26400000000000001</v>
      </c>
      <c r="D161" s="17" t="s">
        <v>1819</v>
      </c>
    </row>
    <row r="162" spans="1:4">
      <c r="A162" s="3">
        <v>158</v>
      </c>
      <c r="B162" s="33">
        <v>0.1</v>
      </c>
      <c r="C162" s="33">
        <v>0.13200000000000001</v>
      </c>
      <c r="D162" s="17" t="s">
        <v>1819</v>
      </c>
    </row>
    <row r="163" spans="1:4">
      <c r="A163" s="3">
        <v>158</v>
      </c>
      <c r="B163" s="33">
        <v>0.15</v>
      </c>
      <c r="C163" s="33">
        <v>9.1999999999999998E-2</v>
      </c>
      <c r="D163" s="17" t="s">
        <v>1819</v>
      </c>
    </row>
    <row r="164" spans="1:4">
      <c r="A164" s="3">
        <v>336</v>
      </c>
      <c r="B164" s="33">
        <v>0.2</v>
      </c>
      <c r="C164" s="33">
        <v>6.8000000000000005E-2</v>
      </c>
      <c r="D164" s="17" t="s">
        <v>1819</v>
      </c>
    </row>
    <row r="165" spans="1:4">
      <c r="A165" s="3">
        <v>336</v>
      </c>
      <c r="B165" s="14">
        <v>0.33</v>
      </c>
      <c r="C165" s="14">
        <v>0.47</v>
      </c>
      <c r="D165" s="17" t="s">
        <v>1819</v>
      </c>
    </row>
    <row r="166" spans="1:4">
      <c r="A166" s="1">
        <v>400</v>
      </c>
      <c r="B166" s="14">
        <v>0.33</v>
      </c>
      <c r="C166" s="14">
        <v>1</v>
      </c>
      <c r="D166" s="17" t="s">
        <v>1819</v>
      </c>
    </row>
    <row r="167" spans="1:4">
      <c r="A167" s="3">
        <v>400</v>
      </c>
      <c r="B167" s="33">
        <v>0.02</v>
      </c>
      <c r="C167" s="33">
        <v>0.16300000000000001</v>
      </c>
      <c r="D167" s="17" t="s">
        <v>1819</v>
      </c>
    </row>
    <row r="168" spans="1:4">
      <c r="A168" s="3">
        <v>400</v>
      </c>
      <c r="B168" s="33">
        <v>0.04</v>
      </c>
      <c r="C168" s="33">
        <v>0.12300000000000001</v>
      </c>
      <c r="D168" s="17" t="s">
        <v>1819</v>
      </c>
    </row>
    <row r="169" spans="1:4">
      <c r="A169" s="3">
        <v>400</v>
      </c>
      <c r="B169" s="33">
        <v>0.06</v>
      </c>
      <c r="C169" s="33">
        <v>8.199999999999999E-2</v>
      </c>
      <c r="D169" s="17" t="s">
        <v>1819</v>
      </c>
    </row>
    <row r="170" spans="1:4">
      <c r="A170" s="3">
        <v>400</v>
      </c>
      <c r="B170" s="33">
        <v>0.08</v>
      </c>
      <c r="C170" s="33">
        <v>6.2E-2</v>
      </c>
      <c r="D170" s="17" t="s">
        <v>1819</v>
      </c>
    </row>
    <row r="171" spans="1:4">
      <c r="A171" s="3">
        <v>400</v>
      </c>
      <c r="B171" s="33">
        <v>0.1</v>
      </c>
      <c r="C171" s="33">
        <v>5.0999999999999997E-2</v>
      </c>
      <c r="D171" s="17" t="s">
        <v>1819</v>
      </c>
    </row>
    <row r="172" spans="1:4">
      <c r="A172" s="3">
        <v>400</v>
      </c>
      <c r="B172" s="33">
        <v>0.12</v>
      </c>
      <c r="C172" s="33">
        <v>4.0999999999999995E-2</v>
      </c>
      <c r="D172" s="17" t="s">
        <v>1819</v>
      </c>
    </row>
    <row r="173" spans="1:4">
      <c r="A173" s="3">
        <v>400</v>
      </c>
      <c r="B173" s="33">
        <v>0.14000000000000001</v>
      </c>
      <c r="C173" s="33">
        <v>3.3000000000000002E-2</v>
      </c>
      <c r="D173" s="17" t="s">
        <v>1819</v>
      </c>
    </row>
    <row r="174" spans="1:4">
      <c r="A174" s="3">
        <v>400</v>
      </c>
      <c r="B174" s="33">
        <v>0.16</v>
      </c>
      <c r="C174" s="33">
        <v>3.1E-2</v>
      </c>
      <c r="D174" s="17" t="s">
        <v>1819</v>
      </c>
    </row>
    <row r="175" spans="1:4">
      <c r="A175" s="3">
        <v>400</v>
      </c>
      <c r="B175" s="33">
        <v>0.18</v>
      </c>
      <c r="C175" s="33">
        <v>2.5000000000000001E-2</v>
      </c>
      <c r="D175" s="17" t="s">
        <v>1819</v>
      </c>
    </row>
    <row r="176" spans="1:4">
      <c r="A176" s="3">
        <v>400</v>
      </c>
      <c r="B176" s="33">
        <v>0.02</v>
      </c>
      <c r="C176" s="33">
        <v>0.17</v>
      </c>
      <c r="D176" s="17" t="s">
        <v>1819</v>
      </c>
    </row>
    <row r="177" spans="1:4">
      <c r="A177" s="3">
        <v>400</v>
      </c>
      <c r="B177" s="33">
        <v>0.04</v>
      </c>
      <c r="C177" s="33">
        <v>0.127</v>
      </c>
      <c r="D177" s="17" t="s">
        <v>1819</v>
      </c>
    </row>
    <row r="178" spans="1:4">
      <c r="A178" s="3">
        <v>400</v>
      </c>
      <c r="B178" s="33">
        <v>0.06</v>
      </c>
      <c r="C178" s="33">
        <v>8.3000000000000004E-2</v>
      </c>
      <c r="D178" s="17" t="s">
        <v>1819</v>
      </c>
    </row>
    <row r="179" spans="1:4">
      <c r="A179" s="3">
        <v>400</v>
      </c>
      <c r="B179" s="33">
        <v>0.08</v>
      </c>
      <c r="C179" s="33">
        <v>6.2E-2</v>
      </c>
      <c r="D179" s="17" t="s">
        <v>1819</v>
      </c>
    </row>
    <row r="180" spans="1:4">
      <c r="A180" s="3">
        <v>400</v>
      </c>
      <c r="B180" s="33">
        <v>0.1</v>
      </c>
      <c r="C180" s="33">
        <v>5.0999999999999997E-2</v>
      </c>
      <c r="D180" s="17" t="s">
        <v>1819</v>
      </c>
    </row>
    <row r="181" spans="1:4">
      <c r="A181" s="3">
        <v>400</v>
      </c>
      <c r="B181" s="33">
        <v>0.12</v>
      </c>
      <c r="C181" s="33">
        <v>4.0999999999999995E-2</v>
      </c>
      <c r="D181" s="17" t="s">
        <v>1819</v>
      </c>
    </row>
    <row r="182" spans="1:4">
      <c r="A182" s="3">
        <v>400</v>
      </c>
      <c r="B182" s="33">
        <v>0.14000000000000001</v>
      </c>
      <c r="C182" s="33">
        <v>3.3000000000000002E-2</v>
      </c>
      <c r="D182" s="17" t="s">
        <v>1819</v>
      </c>
    </row>
    <row r="183" spans="1:4">
      <c r="A183" s="3">
        <v>400</v>
      </c>
      <c r="B183" s="33">
        <v>0.16</v>
      </c>
      <c r="C183" s="33">
        <v>3.1E-2</v>
      </c>
      <c r="D183" s="17" t="s">
        <v>1819</v>
      </c>
    </row>
    <row r="184" spans="1:4">
      <c r="A184" s="1">
        <v>400</v>
      </c>
      <c r="B184" s="33">
        <v>0.18</v>
      </c>
      <c r="C184" s="33">
        <v>2.5000000000000001E-2</v>
      </c>
      <c r="D184" s="17" t="s">
        <v>1819</v>
      </c>
    </row>
    <row r="185" spans="1:4">
      <c r="A185" s="3">
        <v>400</v>
      </c>
      <c r="B185" s="33">
        <v>0.02</v>
      </c>
      <c r="C185" s="33">
        <v>7.2000000000000008E-2</v>
      </c>
      <c r="D185" s="17" t="s">
        <v>1819</v>
      </c>
    </row>
    <row r="186" spans="1:4">
      <c r="A186" s="3">
        <v>400</v>
      </c>
      <c r="B186" s="33">
        <v>0.04</v>
      </c>
      <c r="C186" s="33">
        <v>7.2000000000000008E-2</v>
      </c>
      <c r="D186" s="17" t="s">
        <v>1819</v>
      </c>
    </row>
    <row r="187" spans="1:4">
      <c r="A187" s="3">
        <v>400</v>
      </c>
      <c r="B187" s="33">
        <v>0.06</v>
      </c>
      <c r="C187" s="33">
        <v>4.8000000000000001E-2</v>
      </c>
      <c r="D187" s="17" t="s">
        <v>1819</v>
      </c>
    </row>
    <row r="188" spans="1:4">
      <c r="A188" s="3">
        <v>400</v>
      </c>
      <c r="B188" s="33">
        <v>0.08</v>
      </c>
      <c r="C188" s="33">
        <v>3.5000000000000003E-2</v>
      </c>
      <c r="D188" s="17" t="s">
        <v>1819</v>
      </c>
    </row>
    <row r="189" spans="1:4">
      <c r="A189" s="3">
        <v>400</v>
      </c>
      <c r="B189" s="33">
        <v>0.1</v>
      </c>
      <c r="C189" s="33">
        <v>2.7999999999999997E-2</v>
      </c>
      <c r="D189" s="17" t="s">
        <v>1819</v>
      </c>
    </row>
    <row r="190" spans="1:4">
      <c r="A190" s="3">
        <v>400</v>
      </c>
      <c r="B190" s="33">
        <v>0.12</v>
      </c>
      <c r="C190" s="33">
        <v>2.4E-2</v>
      </c>
      <c r="D190" s="17" t="s">
        <v>1819</v>
      </c>
    </row>
    <row r="191" spans="1:4">
      <c r="A191" s="3">
        <v>400</v>
      </c>
      <c r="B191" s="33">
        <v>0.14000000000000001</v>
      </c>
      <c r="C191" s="33">
        <v>0.02</v>
      </c>
      <c r="D191" s="17" t="s">
        <v>1819</v>
      </c>
    </row>
    <row r="192" spans="1:4">
      <c r="A192" s="3">
        <v>400</v>
      </c>
      <c r="B192" s="33">
        <v>0.16</v>
      </c>
      <c r="C192" s="33">
        <v>1.8000000000000002E-2</v>
      </c>
      <c r="D192" s="17" t="s">
        <v>1819</v>
      </c>
    </row>
    <row r="193" spans="1:4">
      <c r="A193" s="3">
        <v>400</v>
      </c>
      <c r="B193" s="33">
        <v>0.18</v>
      </c>
      <c r="C193" s="33">
        <v>1.4999999999999999E-2</v>
      </c>
      <c r="D193" s="17" t="s">
        <v>1819</v>
      </c>
    </row>
    <row r="194" spans="1:4">
      <c r="A194" s="3">
        <v>400</v>
      </c>
      <c r="B194" s="33">
        <v>0.02</v>
      </c>
      <c r="C194" s="33">
        <v>7.2000000000000008E-2</v>
      </c>
      <c r="D194" s="17" t="s">
        <v>1819</v>
      </c>
    </row>
    <row r="195" spans="1:4">
      <c r="A195" s="3">
        <v>400</v>
      </c>
      <c r="B195" s="33">
        <v>0.04</v>
      </c>
      <c r="C195" s="33">
        <v>7.2000000000000008E-2</v>
      </c>
      <c r="D195" s="17" t="s">
        <v>1819</v>
      </c>
    </row>
    <row r="196" spans="1:4">
      <c r="A196" s="3">
        <v>400</v>
      </c>
      <c r="B196" s="33">
        <v>0.06</v>
      </c>
      <c r="C196" s="33">
        <v>4.8000000000000001E-2</v>
      </c>
      <c r="D196" s="17" t="s">
        <v>1819</v>
      </c>
    </row>
    <row r="197" spans="1:4">
      <c r="A197" s="3">
        <v>400</v>
      </c>
      <c r="B197" s="33">
        <v>0.08</v>
      </c>
      <c r="C197" s="33">
        <v>4.7E-2</v>
      </c>
      <c r="D197" s="17" t="s">
        <v>1819</v>
      </c>
    </row>
    <row r="198" spans="1:4">
      <c r="A198" s="3">
        <v>400</v>
      </c>
      <c r="B198" s="33">
        <v>0.1</v>
      </c>
      <c r="C198" s="33">
        <v>4.8000000000000001E-2</v>
      </c>
      <c r="D198" s="17" t="s">
        <v>1819</v>
      </c>
    </row>
    <row r="199" spans="1:4">
      <c r="A199" s="3">
        <v>400</v>
      </c>
      <c r="B199" s="33">
        <v>0.12</v>
      </c>
      <c r="C199" s="33">
        <v>4.8000000000000001E-2</v>
      </c>
      <c r="D199" s="17" t="s">
        <v>1819</v>
      </c>
    </row>
    <row r="200" spans="1:4">
      <c r="A200" s="3">
        <v>400</v>
      </c>
      <c r="B200" s="33">
        <v>0.14000000000000001</v>
      </c>
      <c r="C200" s="33">
        <v>4.2999999999999997E-2</v>
      </c>
      <c r="D200" s="17" t="s">
        <v>1819</v>
      </c>
    </row>
    <row r="201" spans="1:4">
      <c r="A201" s="3">
        <v>400</v>
      </c>
      <c r="B201" s="33">
        <v>0.16</v>
      </c>
      <c r="C201" s="33">
        <v>3.7999999999999999E-2</v>
      </c>
      <c r="D201" s="17" t="s">
        <v>1819</v>
      </c>
    </row>
    <row r="202" spans="1:4">
      <c r="A202" s="1">
        <v>400</v>
      </c>
      <c r="B202" s="33">
        <v>0.18</v>
      </c>
      <c r="C202" s="33">
        <v>3.2000000000000001E-2</v>
      </c>
      <c r="D202" s="17" t="s">
        <v>1819</v>
      </c>
    </row>
    <row r="203" spans="1:4">
      <c r="A203" s="3">
        <v>400</v>
      </c>
      <c r="B203" s="33">
        <v>0.02</v>
      </c>
      <c r="C203" s="33">
        <v>5.5E-2</v>
      </c>
      <c r="D203" s="17" t="s">
        <v>1819</v>
      </c>
    </row>
    <row r="204" spans="1:4">
      <c r="A204" s="3">
        <v>400</v>
      </c>
      <c r="B204" s="33">
        <v>0.04</v>
      </c>
      <c r="C204" s="33">
        <v>5.5E-2</v>
      </c>
      <c r="D204" s="17" t="s">
        <v>1819</v>
      </c>
    </row>
    <row r="205" spans="1:4">
      <c r="A205" s="3">
        <v>400</v>
      </c>
      <c r="B205" s="33">
        <v>0.06</v>
      </c>
      <c r="C205" s="33">
        <v>5.4000000000000006E-2</v>
      </c>
      <c r="D205" s="17" t="s">
        <v>1819</v>
      </c>
    </row>
    <row r="206" spans="1:4">
      <c r="A206" s="3">
        <v>400</v>
      </c>
      <c r="B206" s="33">
        <v>0.08</v>
      </c>
      <c r="C206" s="33">
        <v>0.04</v>
      </c>
      <c r="D206" s="17" t="s">
        <v>1819</v>
      </c>
    </row>
    <row r="207" spans="1:4">
      <c r="A207" s="3">
        <v>400</v>
      </c>
      <c r="B207" s="33">
        <v>0.1</v>
      </c>
      <c r="C207" s="33">
        <v>3.2000000000000001E-2</v>
      </c>
      <c r="D207" s="17" t="s">
        <v>1819</v>
      </c>
    </row>
    <row r="208" spans="1:4">
      <c r="A208" s="3">
        <v>400</v>
      </c>
      <c r="B208" s="33">
        <v>0.12</v>
      </c>
      <c r="C208" s="33">
        <v>2.6000000000000002E-2</v>
      </c>
      <c r="D208" s="17" t="s">
        <v>1819</v>
      </c>
    </row>
    <row r="209" spans="1:4">
      <c r="A209" s="3">
        <v>400</v>
      </c>
      <c r="B209" s="33">
        <v>0.14000000000000001</v>
      </c>
      <c r="C209" s="33">
        <v>0.02</v>
      </c>
      <c r="D209" s="17" t="s">
        <v>1819</v>
      </c>
    </row>
    <row r="210" spans="1:4">
      <c r="A210" s="3">
        <v>400</v>
      </c>
      <c r="B210" s="33">
        <v>0.16</v>
      </c>
      <c r="C210" s="33">
        <v>1.6E-2</v>
      </c>
      <c r="D210" s="17" t="s">
        <v>1819</v>
      </c>
    </row>
    <row r="211" spans="1:4">
      <c r="A211" s="3">
        <v>400</v>
      </c>
      <c r="B211" s="33">
        <v>0.18</v>
      </c>
      <c r="C211" s="33">
        <v>1.6E-2</v>
      </c>
      <c r="D211" s="17" t="s">
        <v>1819</v>
      </c>
    </row>
    <row r="212" spans="1:4">
      <c r="A212" s="3">
        <v>400</v>
      </c>
      <c r="B212" s="33">
        <v>0.02</v>
      </c>
      <c r="C212" s="33">
        <v>5.7999999999999996E-2</v>
      </c>
      <c r="D212" s="17" t="s">
        <v>1819</v>
      </c>
    </row>
    <row r="213" spans="1:4">
      <c r="A213" s="3">
        <v>400</v>
      </c>
      <c r="B213" s="33">
        <v>0.04</v>
      </c>
      <c r="C213" s="33">
        <v>5.7000000000000002E-2</v>
      </c>
      <c r="D213" s="17" t="s">
        <v>1819</v>
      </c>
    </row>
    <row r="214" spans="1:4">
      <c r="A214" s="3">
        <v>400</v>
      </c>
      <c r="B214" s="33">
        <v>0.06</v>
      </c>
      <c r="C214" s="33">
        <v>5.5999999999999994E-2</v>
      </c>
      <c r="D214" s="17" t="s">
        <v>1819</v>
      </c>
    </row>
    <row r="215" spans="1:4">
      <c r="A215" s="3">
        <v>400</v>
      </c>
      <c r="B215" s="33">
        <v>0.08</v>
      </c>
      <c r="C215" s="33">
        <v>4.2999999999999997E-2</v>
      </c>
      <c r="D215" s="17" t="s">
        <v>1819</v>
      </c>
    </row>
    <row r="216" spans="1:4">
      <c r="A216" s="3">
        <v>400</v>
      </c>
      <c r="B216" s="33">
        <v>0.1</v>
      </c>
      <c r="C216" s="33">
        <v>4.2999999999999997E-2</v>
      </c>
      <c r="D216" s="17" t="s">
        <v>1819</v>
      </c>
    </row>
    <row r="217" spans="1:4">
      <c r="A217" s="3">
        <v>400</v>
      </c>
      <c r="B217" s="33">
        <v>0.12</v>
      </c>
      <c r="C217" s="33">
        <v>4.0999999999999995E-2</v>
      </c>
      <c r="D217" s="17" t="s">
        <v>1819</v>
      </c>
    </row>
    <row r="218" spans="1:4">
      <c r="A218" s="3">
        <v>400</v>
      </c>
      <c r="B218" s="33">
        <v>0.14000000000000001</v>
      </c>
      <c r="C218" s="33">
        <v>4.0999999999999995E-2</v>
      </c>
      <c r="D218" s="17" t="s">
        <v>1819</v>
      </c>
    </row>
    <row r="219" spans="1:4">
      <c r="A219" s="3">
        <v>400</v>
      </c>
      <c r="B219" s="33">
        <v>0.16</v>
      </c>
      <c r="C219" s="33">
        <v>4.0999999999999995E-2</v>
      </c>
      <c r="D219" s="17" t="s">
        <v>1819</v>
      </c>
    </row>
    <row r="220" spans="1:4">
      <c r="A220" s="1">
        <v>400</v>
      </c>
      <c r="B220" s="33">
        <v>0.18</v>
      </c>
      <c r="C220" s="33">
        <v>3.5000000000000003E-2</v>
      </c>
      <c r="D220" s="17" t="s">
        <v>1819</v>
      </c>
    </row>
    <row r="221" spans="1:4">
      <c r="A221" s="3">
        <v>400</v>
      </c>
      <c r="B221" s="33">
        <v>0.02</v>
      </c>
      <c r="C221" s="33">
        <v>1E-3</v>
      </c>
      <c r="D221" s="17" t="s">
        <v>1819</v>
      </c>
    </row>
    <row r="222" spans="1:4">
      <c r="A222" s="3">
        <v>400</v>
      </c>
      <c r="B222" s="33">
        <v>0.04</v>
      </c>
      <c r="C222" s="33">
        <v>1E-3</v>
      </c>
      <c r="D222" s="17" t="s">
        <v>1819</v>
      </c>
    </row>
    <row r="223" spans="1:4">
      <c r="A223" s="3">
        <v>400</v>
      </c>
      <c r="B223" s="33">
        <v>0.06</v>
      </c>
      <c r="C223" s="33">
        <v>1E-3</v>
      </c>
      <c r="D223" s="17" t="s">
        <v>1819</v>
      </c>
    </row>
    <row r="224" spans="1:4">
      <c r="A224" s="3">
        <v>400</v>
      </c>
      <c r="B224" s="33">
        <v>0.08</v>
      </c>
      <c r="C224" s="33">
        <v>1E-3</v>
      </c>
      <c r="D224" s="17" t="s">
        <v>1819</v>
      </c>
    </row>
    <row r="225" spans="1:4">
      <c r="A225" s="3">
        <v>400</v>
      </c>
      <c r="B225" s="33">
        <v>0.1</v>
      </c>
      <c r="C225" s="33">
        <v>1E-3</v>
      </c>
      <c r="D225" s="17" t="s">
        <v>1819</v>
      </c>
    </row>
    <row r="226" spans="1:4">
      <c r="A226" s="3">
        <v>400</v>
      </c>
      <c r="B226" s="33">
        <v>0.12</v>
      </c>
      <c r="C226" s="33">
        <v>1E-3</v>
      </c>
      <c r="D226" s="17" t="s">
        <v>1819</v>
      </c>
    </row>
    <row r="227" spans="1:4">
      <c r="A227" s="3">
        <v>400</v>
      </c>
      <c r="B227" s="33">
        <v>0.14000000000000001</v>
      </c>
      <c r="C227" s="33">
        <v>1E-3</v>
      </c>
      <c r="D227" s="17" t="s">
        <v>1819</v>
      </c>
    </row>
    <row r="228" spans="1:4">
      <c r="A228" s="3">
        <v>400</v>
      </c>
      <c r="B228" s="33">
        <v>0.16</v>
      </c>
      <c r="C228" s="33">
        <v>1E-3</v>
      </c>
      <c r="D228" s="17" t="s">
        <v>1819</v>
      </c>
    </row>
    <row r="229" spans="1:4">
      <c r="A229" s="3">
        <v>400</v>
      </c>
      <c r="B229" s="33">
        <v>0.18</v>
      </c>
      <c r="C229" s="33">
        <v>1E-3</v>
      </c>
      <c r="D229" s="17" t="s">
        <v>1819</v>
      </c>
    </row>
    <row r="230" spans="1:4">
      <c r="A230" s="3">
        <v>400</v>
      </c>
      <c r="B230" s="33">
        <v>0.02</v>
      </c>
      <c r="C230" s="33">
        <v>0.06</v>
      </c>
      <c r="D230" s="17" t="s">
        <v>1819</v>
      </c>
    </row>
    <row r="231" spans="1:4">
      <c r="A231" s="3">
        <v>400</v>
      </c>
      <c r="B231" s="33">
        <v>0.04</v>
      </c>
      <c r="C231" s="33">
        <v>5.7999999999999996E-2</v>
      </c>
      <c r="D231" s="17" t="s">
        <v>1819</v>
      </c>
    </row>
    <row r="232" spans="1:4">
      <c r="A232" s="3">
        <v>400</v>
      </c>
      <c r="B232" s="33">
        <v>0.06</v>
      </c>
      <c r="C232" s="33">
        <v>5.5999999999999994E-2</v>
      </c>
      <c r="D232" s="17" t="s">
        <v>1819</v>
      </c>
    </row>
    <row r="233" spans="1:4">
      <c r="A233" s="3">
        <v>400</v>
      </c>
      <c r="B233" s="33">
        <v>0.08</v>
      </c>
      <c r="C233" s="33">
        <v>5.5999999999999994E-2</v>
      </c>
      <c r="D233" s="17" t="s">
        <v>1819</v>
      </c>
    </row>
    <row r="234" spans="1:4">
      <c r="A234" s="3">
        <v>400</v>
      </c>
      <c r="B234" s="33">
        <v>0.1</v>
      </c>
      <c r="C234" s="33">
        <v>4.8000000000000001E-2</v>
      </c>
      <c r="D234" s="17" t="s">
        <v>1819</v>
      </c>
    </row>
    <row r="235" spans="1:4">
      <c r="A235" s="3">
        <v>400</v>
      </c>
      <c r="B235" s="33">
        <v>0.12</v>
      </c>
      <c r="C235" s="33">
        <v>4.8000000000000001E-2</v>
      </c>
      <c r="D235" s="17" t="s">
        <v>1819</v>
      </c>
    </row>
    <row r="236" spans="1:4">
      <c r="A236" s="3">
        <v>400</v>
      </c>
      <c r="B236" s="33">
        <v>0.14000000000000001</v>
      </c>
      <c r="C236" s="33">
        <v>4.8000000000000001E-2</v>
      </c>
      <c r="D236" s="17" t="s">
        <v>1819</v>
      </c>
    </row>
    <row r="237" spans="1:4">
      <c r="A237" s="3">
        <v>400</v>
      </c>
      <c r="B237" s="33">
        <v>0.16</v>
      </c>
      <c r="C237" s="33">
        <v>0.04</v>
      </c>
      <c r="D237" s="17" t="s">
        <v>1819</v>
      </c>
    </row>
    <row r="238" spans="1:4">
      <c r="A238" s="1">
        <v>400</v>
      </c>
      <c r="B238" s="33">
        <v>0.18</v>
      </c>
      <c r="C238" s="33">
        <v>3.7999999999999999E-2</v>
      </c>
      <c r="D238" s="17" t="s">
        <v>1819</v>
      </c>
    </row>
    <row r="239" spans="1:4">
      <c r="A239" s="3">
        <v>400</v>
      </c>
      <c r="B239" s="33">
        <v>0.02</v>
      </c>
      <c r="C239" s="33">
        <v>2.2000000000000002E-2</v>
      </c>
      <c r="D239" s="17" t="s">
        <v>1819</v>
      </c>
    </row>
    <row r="240" spans="1:4">
      <c r="A240" s="3">
        <v>400</v>
      </c>
      <c r="B240" s="33">
        <v>0.04</v>
      </c>
      <c r="C240" s="33">
        <v>2.2000000000000002E-2</v>
      </c>
      <c r="D240" s="17" t="s">
        <v>1819</v>
      </c>
    </row>
    <row r="241" spans="1:4">
      <c r="A241" s="3">
        <v>400</v>
      </c>
      <c r="B241" s="33">
        <v>0.06</v>
      </c>
      <c r="C241" s="33">
        <v>2.2000000000000002E-2</v>
      </c>
      <c r="D241" s="17" t="s">
        <v>1819</v>
      </c>
    </row>
    <row r="242" spans="1:4">
      <c r="A242" s="3">
        <v>400</v>
      </c>
      <c r="B242" s="33">
        <v>0.08</v>
      </c>
      <c r="C242" s="33">
        <v>2.2000000000000002E-2</v>
      </c>
      <c r="D242" s="17" t="s">
        <v>1819</v>
      </c>
    </row>
    <row r="243" spans="1:4">
      <c r="A243" s="3">
        <v>400</v>
      </c>
      <c r="B243" s="33">
        <v>0.1</v>
      </c>
      <c r="C243" s="33">
        <v>2.2000000000000002E-2</v>
      </c>
      <c r="D243" s="17" t="s">
        <v>1819</v>
      </c>
    </row>
    <row r="244" spans="1:4">
      <c r="A244" s="3">
        <v>400</v>
      </c>
      <c r="B244" s="33">
        <v>0.12</v>
      </c>
      <c r="C244" s="33">
        <v>1.7000000000000001E-2</v>
      </c>
      <c r="D244" s="17" t="s">
        <v>1819</v>
      </c>
    </row>
    <row r="245" spans="1:4">
      <c r="A245" s="3">
        <v>400</v>
      </c>
      <c r="B245" s="33">
        <v>0.14000000000000001</v>
      </c>
      <c r="C245" s="33">
        <v>1.3999999999999999E-2</v>
      </c>
      <c r="D245" s="17" t="s">
        <v>1819</v>
      </c>
    </row>
    <row r="246" spans="1:4">
      <c r="A246" s="3">
        <v>400</v>
      </c>
      <c r="B246" s="33">
        <v>0.16</v>
      </c>
      <c r="C246" s="33">
        <v>1.3999999999999999E-2</v>
      </c>
      <c r="D246" s="17" t="s">
        <v>1819</v>
      </c>
    </row>
    <row r="247" spans="1:4">
      <c r="A247" s="3">
        <v>400</v>
      </c>
      <c r="B247" s="33">
        <v>0.18</v>
      </c>
      <c r="C247" s="33">
        <v>1.1000000000000001E-2</v>
      </c>
      <c r="D247" s="17" t="s">
        <v>1819</v>
      </c>
    </row>
    <row r="248" spans="1:4">
      <c r="A248" s="3">
        <v>400</v>
      </c>
      <c r="B248" s="33">
        <v>0.02</v>
      </c>
      <c r="C248" s="33">
        <v>0.14599999999999999</v>
      </c>
      <c r="D248" s="17" t="s">
        <v>1819</v>
      </c>
    </row>
    <row r="249" spans="1:4">
      <c r="A249" s="3">
        <v>400</v>
      </c>
      <c r="B249" s="33">
        <v>0.04</v>
      </c>
      <c r="C249" s="33">
        <v>0.14599999999999999</v>
      </c>
      <c r="D249" s="17" t="s">
        <v>1819</v>
      </c>
    </row>
    <row r="250" spans="1:4">
      <c r="A250" s="3">
        <v>400</v>
      </c>
      <c r="B250" s="33">
        <v>0.06</v>
      </c>
      <c r="C250" s="33">
        <v>0.14599999999999999</v>
      </c>
      <c r="D250" s="17" t="s">
        <v>1819</v>
      </c>
    </row>
    <row r="251" spans="1:4">
      <c r="A251" s="3">
        <v>400</v>
      </c>
      <c r="B251" s="33">
        <v>0.08</v>
      </c>
      <c r="C251" s="33">
        <v>0.111</v>
      </c>
      <c r="D251" s="17" t="s">
        <v>1819</v>
      </c>
    </row>
    <row r="252" spans="1:4">
      <c r="A252" s="3">
        <v>400</v>
      </c>
      <c r="B252" s="33">
        <v>0.1</v>
      </c>
      <c r="C252" s="33">
        <v>0.111</v>
      </c>
      <c r="D252" s="17" t="s">
        <v>1819</v>
      </c>
    </row>
    <row r="253" spans="1:4">
      <c r="A253" s="3">
        <v>400</v>
      </c>
      <c r="B253" s="33">
        <v>0.12</v>
      </c>
      <c r="C253" s="33">
        <v>0.111</v>
      </c>
      <c r="D253" s="17" t="s">
        <v>1819</v>
      </c>
    </row>
    <row r="254" spans="1:4">
      <c r="A254" s="3">
        <v>400</v>
      </c>
      <c r="B254" s="33">
        <v>0.14000000000000001</v>
      </c>
      <c r="C254" s="33">
        <v>0.111</v>
      </c>
      <c r="D254" s="17" t="s">
        <v>1819</v>
      </c>
    </row>
    <row r="255" spans="1:4">
      <c r="A255" s="3">
        <v>400</v>
      </c>
      <c r="B255" s="33">
        <v>0.16</v>
      </c>
      <c r="C255" s="33">
        <v>0.111</v>
      </c>
      <c r="D255" s="17" t="s">
        <v>1819</v>
      </c>
    </row>
    <row r="256" spans="1:4">
      <c r="A256" s="1">
        <v>400</v>
      </c>
      <c r="B256" s="33">
        <v>0.18</v>
      </c>
      <c r="C256" s="33">
        <v>0.111</v>
      </c>
      <c r="D256" s="17" t="s">
        <v>1819</v>
      </c>
    </row>
    <row r="257" spans="1:4">
      <c r="A257" s="3">
        <v>400</v>
      </c>
      <c r="B257" s="33">
        <v>0.02</v>
      </c>
      <c r="C257" s="33">
        <v>1.9E-2</v>
      </c>
      <c r="D257" s="17" t="s">
        <v>1819</v>
      </c>
    </row>
    <row r="258" spans="1:4">
      <c r="A258" s="3">
        <v>400</v>
      </c>
      <c r="B258" s="33">
        <v>0.04</v>
      </c>
      <c r="C258" s="33">
        <v>1.9E-2</v>
      </c>
      <c r="D258" s="17" t="s">
        <v>1819</v>
      </c>
    </row>
    <row r="259" spans="1:4">
      <c r="A259" s="3">
        <v>400</v>
      </c>
      <c r="B259" s="33">
        <v>0.06</v>
      </c>
      <c r="C259" s="33">
        <v>1.1000000000000001E-2</v>
      </c>
      <c r="D259" s="17" t="s">
        <v>1819</v>
      </c>
    </row>
    <row r="260" spans="1:4">
      <c r="A260" s="3">
        <v>400</v>
      </c>
      <c r="B260" s="33">
        <v>0.08</v>
      </c>
      <c r="C260" s="33">
        <v>8.0000000000000002E-3</v>
      </c>
      <c r="D260" s="17" t="s">
        <v>1819</v>
      </c>
    </row>
    <row r="261" spans="1:4">
      <c r="A261" s="3">
        <v>400</v>
      </c>
      <c r="B261" s="33">
        <v>0.1</v>
      </c>
      <c r="C261" s="33">
        <v>5.0000000000000001E-3</v>
      </c>
      <c r="D261" s="17" t="s">
        <v>1819</v>
      </c>
    </row>
    <row r="262" spans="1:4">
      <c r="A262" s="3">
        <v>400</v>
      </c>
      <c r="B262" s="33">
        <v>0.12</v>
      </c>
      <c r="C262" s="33">
        <v>4.0000000000000001E-3</v>
      </c>
      <c r="D262" s="17" t="s">
        <v>1819</v>
      </c>
    </row>
    <row r="263" spans="1:4">
      <c r="A263" s="3">
        <v>400</v>
      </c>
      <c r="B263" s="33">
        <v>0.14000000000000001</v>
      </c>
      <c r="C263" s="33">
        <v>3.0000000000000001E-3</v>
      </c>
      <c r="D263" s="17" t="s">
        <v>1819</v>
      </c>
    </row>
    <row r="264" spans="1:4">
      <c r="A264" s="3">
        <v>400</v>
      </c>
      <c r="B264" s="33">
        <v>0.16</v>
      </c>
      <c r="C264" s="33">
        <v>2E-3</v>
      </c>
      <c r="D264" s="17" t="s">
        <v>1819</v>
      </c>
    </row>
    <row r="265" spans="1:4">
      <c r="A265" s="3">
        <v>400</v>
      </c>
      <c r="B265" s="33">
        <v>0.18</v>
      </c>
      <c r="C265" s="33">
        <v>2E-3</v>
      </c>
      <c r="D265" s="17" t="s">
        <v>1819</v>
      </c>
    </row>
    <row r="266" spans="1:4">
      <c r="A266" s="3">
        <v>400</v>
      </c>
      <c r="B266" s="33">
        <v>0.02</v>
      </c>
      <c r="C266" s="33">
        <v>3.9E-2</v>
      </c>
      <c r="D266" s="17" t="s">
        <v>1819</v>
      </c>
    </row>
    <row r="267" spans="1:4">
      <c r="A267" s="3">
        <v>400</v>
      </c>
      <c r="B267" s="33">
        <v>0.04</v>
      </c>
      <c r="C267" s="33">
        <v>2.8999999999999998E-2</v>
      </c>
      <c r="D267" s="17" t="s">
        <v>1819</v>
      </c>
    </row>
    <row r="268" spans="1:4">
      <c r="A268" s="3">
        <v>400</v>
      </c>
      <c r="B268" s="33">
        <v>0.06</v>
      </c>
      <c r="C268" s="33">
        <v>2.8999999999999998E-2</v>
      </c>
      <c r="D268" s="17" t="s">
        <v>1819</v>
      </c>
    </row>
    <row r="269" spans="1:4">
      <c r="A269" s="3">
        <v>400</v>
      </c>
      <c r="B269" s="33">
        <v>0.08</v>
      </c>
      <c r="C269" s="33">
        <v>2.8999999999999998E-2</v>
      </c>
      <c r="D269" s="17" t="s">
        <v>1819</v>
      </c>
    </row>
    <row r="270" spans="1:4">
      <c r="A270" s="3">
        <v>400</v>
      </c>
      <c r="B270" s="33">
        <v>0.1</v>
      </c>
      <c r="C270" s="33">
        <v>2.8999999999999998E-2</v>
      </c>
      <c r="D270" s="17" t="s">
        <v>1819</v>
      </c>
    </row>
    <row r="271" spans="1:4">
      <c r="A271" s="3">
        <v>400</v>
      </c>
      <c r="B271" s="33">
        <v>0.12</v>
      </c>
      <c r="C271" s="33">
        <v>2.8999999999999998E-2</v>
      </c>
      <c r="D271" s="17" t="s">
        <v>1819</v>
      </c>
    </row>
    <row r="272" spans="1:4">
      <c r="A272" s="3">
        <v>400</v>
      </c>
      <c r="B272" s="33">
        <v>0.14000000000000001</v>
      </c>
      <c r="C272" s="33">
        <v>2.8999999999999998E-2</v>
      </c>
      <c r="D272" s="17" t="s">
        <v>1819</v>
      </c>
    </row>
    <row r="273" spans="1:4">
      <c r="A273" s="3">
        <v>400</v>
      </c>
      <c r="B273" s="33">
        <v>0.16</v>
      </c>
      <c r="C273" s="33">
        <v>2.8999999999999998E-2</v>
      </c>
      <c r="D273" s="17" t="s">
        <v>1819</v>
      </c>
    </row>
    <row r="274" spans="1:4">
      <c r="A274" s="1">
        <v>400</v>
      </c>
      <c r="B274" s="33">
        <v>0.18</v>
      </c>
      <c r="C274" s="33">
        <v>2.4E-2</v>
      </c>
      <c r="D274" s="17" t="s">
        <v>1819</v>
      </c>
    </row>
    <row r="275" spans="1:4">
      <c r="A275" s="3">
        <v>400</v>
      </c>
      <c r="B275" s="33">
        <v>0.02</v>
      </c>
      <c r="C275" s="33">
        <v>0</v>
      </c>
      <c r="D275" s="17" t="s">
        <v>1819</v>
      </c>
    </row>
    <row r="276" spans="1:4">
      <c r="A276" s="3">
        <v>400</v>
      </c>
      <c r="B276" s="33">
        <v>0.04</v>
      </c>
      <c r="C276" s="33">
        <v>0</v>
      </c>
      <c r="D276" s="17" t="s">
        <v>1819</v>
      </c>
    </row>
    <row r="277" spans="1:4">
      <c r="A277" s="3">
        <v>400</v>
      </c>
      <c r="B277" s="33">
        <v>0.06</v>
      </c>
      <c r="C277" s="33">
        <v>0</v>
      </c>
      <c r="D277" s="17" t="s">
        <v>1819</v>
      </c>
    </row>
    <row r="278" spans="1:4">
      <c r="A278" s="3">
        <v>400</v>
      </c>
      <c r="B278" s="33">
        <v>0.08</v>
      </c>
      <c r="C278" s="33">
        <v>0</v>
      </c>
      <c r="D278" s="17" t="s">
        <v>1819</v>
      </c>
    </row>
    <row r="279" spans="1:4">
      <c r="A279" s="3">
        <v>400</v>
      </c>
      <c r="B279" s="33">
        <v>0.1</v>
      </c>
      <c r="C279" s="33">
        <v>4.0000000000000001E-3</v>
      </c>
      <c r="D279" s="17" t="s">
        <v>1819</v>
      </c>
    </row>
    <row r="280" spans="1:4">
      <c r="A280" s="3">
        <v>400</v>
      </c>
      <c r="B280" s="33">
        <v>0.12</v>
      </c>
      <c r="C280" s="33">
        <v>4.0000000000000001E-3</v>
      </c>
      <c r="D280" s="17" t="s">
        <v>1819</v>
      </c>
    </row>
    <row r="281" spans="1:4">
      <c r="A281" s="3">
        <v>400</v>
      </c>
      <c r="B281" s="33">
        <v>0.14000000000000001</v>
      </c>
      <c r="C281" s="33">
        <v>4.0000000000000001E-3</v>
      </c>
      <c r="D281" s="17" t="s">
        <v>1819</v>
      </c>
    </row>
    <row r="282" spans="1:4">
      <c r="A282" s="3">
        <v>400</v>
      </c>
      <c r="B282" s="33">
        <v>0.16</v>
      </c>
      <c r="C282" s="33">
        <v>4.0000000000000001E-3</v>
      </c>
      <c r="D282" s="17" t="s">
        <v>1819</v>
      </c>
    </row>
    <row r="283" spans="1:4">
      <c r="A283" s="3">
        <v>400</v>
      </c>
      <c r="B283" s="33">
        <v>0.18</v>
      </c>
      <c r="C283" s="33">
        <v>4.0000000000000001E-3</v>
      </c>
      <c r="D283" s="17" t="s">
        <v>1819</v>
      </c>
    </row>
    <row r="284" spans="1:4">
      <c r="A284" s="3">
        <v>400</v>
      </c>
      <c r="B284" s="33">
        <v>0.02</v>
      </c>
      <c r="C284" s="33">
        <v>4.2999999999999997E-2</v>
      </c>
      <c r="D284" s="17" t="s">
        <v>1819</v>
      </c>
    </row>
    <row r="285" spans="1:4">
      <c r="A285" s="3">
        <v>400</v>
      </c>
      <c r="B285" s="33">
        <v>0.04</v>
      </c>
      <c r="C285" s="33">
        <v>0.04</v>
      </c>
      <c r="D285" s="17" t="s">
        <v>1819</v>
      </c>
    </row>
    <row r="286" spans="1:4">
      <c r="A286" s="3">
        <v>400</v>
      </c>
      <c r="B286" s="33">
        <v>0.06</v>
      </c>
      <c r="C286" s="33">
        <v>0.04</v>
      </c>
      <c r="D286" s="17" t="s">
        <v>1819</v>
      </c>
    </row>
    <row r="287" spans="1:4">
      <c r="A287" s="3">
        <v>400</v>
      </c>
      <c r="B287" s="33">
        <v>0.08</v>
      </c>
      <c r="C287" s="33">
        <v>0.04</v>
      </c>
      <c r="D287" s="17" t="s">
        <v>1819</v>
      </c>
    </row>
    <row r="288" spans="1:4">
      <c r="A288" s="3">
        <v>400</v>
      </c>
      <c r="B288" s="33">
        <v>0.1</v>
      </c>
      <c r="C288" s="33">
        <v>4.2000000000000003E-2</v>
      </c>
      <c r="D288" s="17" t="s">
        <v>1819</v>
      </c>
    </row>
    <row r="289" spans="1:4">
      <c r="A289" s="3">
        <v>400</v>
      </c>
      <c r="B289" s="33">
        <v>0.12</v>
      </c>
      <c r="C289" s="33">
        <v>4.2000000000000003E-2</v>
      </c>
      <c r="D289" s="17" t="s">
        <v>1819</v>
      </c>
    </row>
    <row r="290" spans="1:4">
      <c r="A290" s="3">
        <v>400</v>
      </c>
      <c r="B290" s="33">
        <v>0.14000000000000001</v>
      </c>
      <c r="C290" s="33">
        <v>4.2000000000000003E-2</v>
      </c>
      <c r="D290" s="17" t="s">
        <v>1819</v>
      </c>
    </row>
    <row r="291" spans="1:4">
      <c r="A291" s="3">
        <v>400</v>
      </c>
      <c r="B291" s="33">
        <v>0.16</v>
      </c>
      <c r="C291" s="33">
        <v>4.2000000000000003E-2</v>
      </c>
      <c r="D291" s="17" t="s">
        <v>1819</v>
      </c>
    </row>
    <row r="292" spans="1:4">
      <c r="A292" s="3">
        <v>400</v>
      </c>
      <c r="B292" s="33">
        <v>0.18</v>
      </c>
      <c r="C292" s="33">
        <v>4.2000000000000003E-2</v>
      </c>
      <c r="D292" s="17" t="s">
        <v>1819</v>
      </c>
    </row>
    <row r="293" spans="1:4">
      <c r="A293" s="38">
        <v>400</v>
      </c>
      <c r="B293" s="71">
        <v>0.02</v>
      </c>
      <c r="C293" s="71">
        <v>5.4000000000000006E-2</v>
      </c>
      <c r="D293" s="17" t="s">
        <v>1819</v>
      </c>
    </row>
    <row r="294" spans="1:4">
      <c r="A294" s="38">
        <v>400</v>
      </c>
      <c r="B294" s="71">
        <v>0.04</v>
      </c>
      <c r="C294" s="71">
        <v>2.7000000000000003E-2</v>
      </c>
      <c r="D294" s="17" t="s">
        <v>1819</v>
      </c>
    </row>
    <row r="295" spans="1:4">
      <c r="A295" s="38">
        <v>400</v>
      </c>
      <c r="B295" s="71">
        <v>0.06</v>
      </c>
      <c r="C295" s="71">
        <v>2.2000000000000002E-2</v>
      </c>
      <c r="D295" s="17" t="s">
        <v>1819</v>
      </c>
    </row>
    <row r="296" spans="1:4">
      <c r="A296" s="38">
        <v>400</v>
      </c>
      <c r="B296" s="71">
        <v>0.08</v>
      </c>
      <c r="C296" s="71">
        <v>2.2000000000000002E-2</v>
      </c>
      <c r="D296" s="17" t="s">
        <v>1819</v>
      </c>
    </row>
    <row r="297" spans="1:4">
      <c r="A297" s="38">
        <v>400</v>
      </c>
      <c r="B297" s="71">
        <v>0.1</v>
      </c>
      <c r="C297" s="71">
        <v>2.2000000000000002E-2</v>
      </c>
      <c r="D297" s="17" t="s">
        <v>1819</v>
      </c>
    </row>
    <row r="298" spans="1:4">
      <c r="A298" s="38">
        <v>400</v>
      </c>
      <c r="B298" s="71">
        <v>0.12</v>
      </c>
      <c r="C298" s="71">
        <v>1.8000000000000002E-2</v>
      </c>
      <c r="D298" s="17" t="s">
        <v>1819</v>
      </c>
    </row>
    <row r="299" spans="1:4">
      <c r="A299" s="38">
        <v>400</v>
      </c>
      <c r="B299" s="71">
        <v>0.14000000000000001</v>
      </c>
      <c r="C299" s="71">
        <v>1.4999999999999999E-2</v>
      </c>
      <c r="D299" s="17" t="s">
        <v>1819</v>
      </c>
    </row>
    <row r="300" spans="1:4">
      <c r="A300" s="38">
        <v>400</v>
      </c>
      <c r="B300" s="71">
        <v>0.16</v>
      </c>
      <c r="C300" s="71">
        <v>1.4999999999999999E-2</v>
      </c>
      <c r="D300" s="17" t="s">
        <v>1819</v>
      </c>
    </row>
    <row r="301" spans="1:4">
      <c r="A301" s="38">
        <v>400</v>
      </c>
      <c r="B301" s="71">
        <v>0.18</v>
      </c>
      <c r="C301" s="71">
        <v>1.3999999999999999E-2</v>
      </c>
      <c r="D301" s="17" t="s">
        <v>1819</v>
      </c>
    </row>
    <row r="302" spans="1:4">
      <c r="A302" s="38">
        <v>400</v>
      </c>
      <c r="B302" s="33">
        <v>0.02</v>
      </c>
      <c r="C302" s="33">
        <v>5.4000000000000006E-2</v>
      </c>
      <c r="D302" s="17" t="s">
        <v>1819</v>
      </c>
    </row>
    <row r="303" spans="1:4">
      <c r="A303" s="38">
        <v>400</v>
      </c>
      <c r="B303" s="33">
        <v>0.04</v>
      </c>
      <c r="C303" s="33">
        <v>5.4000000000000006E-2</v>
      </c>
      <c r="D303" s="17" t="s">
        <v>1819</v>
      </c>
    </row>
    <row r="304" spans="1:4">
      <c r="A304" s="38">
        <v>400</v>
      </c>
      <c r="B304" s="33">
        <v>0.06</v>
      </c>
      <c r="C304" s="33">
        <v>5.2999999999999999E-2</v>
      </c>
      <c r="D304" s="17" t="s">
        <v>1819</v>
      </c>
    </row>
    <row r="305" spans="1:4">
      <c r="A305" s="38">
        <v>400</v>
      </c>
      <c r="B305" s="33">
        <v>0.08</v>
      </c>
      <c r="C305" s="33">
        <v>5.2999999999999999E-2</v>
      </c>
      <c r="D305" s="17" t="s">
        <v>1819</v>
      </c>
    </row>
    <row r="306" spans="1:4">
      <c r="A306" s="38">
        <v>400</v>
      </c>
      <c r="B306" s="33">
        <v>0.1</v>
      </c>
      <c r="C306" s="33">
        <v>5.2999999999999999E-2</v>
      </c>
      <c r="D306" s="17" t="s">
        <v>1819</v>
      </c>
    </row>
    <row r="307" spans="1:4">
      <c r="A307" s="38">
        <v>400</v>
      </c>
      <c r="B307" s="33">
        <v>0.12</v>
      </c>
      <c r="C307" s="33">
        <v>5.2999999999999999E-2</v>
      </c>
      <c r="D307" s="17" t="s">
        <v>1819</v>
      </c>
    </row>
    <row r="308" spans="1:4">
      <c r="A308" s="38">
        <v>400</v>
      </c>
      <c r="B308" s="33">
        <v>0.14000000000000001</v>
      </c>
      <c r="C308" s="33">
        <v>5.2999999999999999E-2</v>
      </c>
      <c r="D308" s="17" t="s">
        <v>1819</v>
      </c>
    </row>
    <row r="309" spans="1:4">
      <c r="A309" s="38">
        <v>400</v>
      </c>
      <c r="B309" s="33">
        <v>0.16</v>
      </c>
      <c r="C309" s="33">
        <v>5.2999999999999999E-2</v>
      </c>
      <c r="D309" s="17" t="s">
        <v>1819</v>
      </c>
    </row>
    <row r="310" spans="1:4">
      <c r="A310" s="38">
        <v>400</v>
      </c>
      <c r="B310" s="33">
        <v>0.18</v>
      </c>
      <c r="C310" s="33">
        <v>0.05</v>
      </c>
      <c r="D310" s="17" t="s">
        <v>1819</v>
      </c>
    </row>
    <row r="311" spans="1:4">
      <c r="A311" s="38">
        <v>400</v>
      </c>
      <c r="B311" s="71">
        <v>0.02</v>
      </c>
      <c r="C311" s="71">
        <v>0.96299999999999997</v>
      </c>
      <c r="D311" s="17" t="s">
        <v>1819</v>
      </c>
    </row>
    <row r="312" spans="1:4">
      <c r="A312" s="38">
        <v>400</v>
      </c>
      <c r="B312" s="71">
        <v>0.04</v>
      </c>
      <c r="C312" s="71">
        <v>0.64200000000000002</v>
      </c>
      <c r="D312" s="17" t="s">
        <v>1819</v>
      </c>
    </row>
    <row r="313" spans="1:4">
      <c r="A313" s="38">
        <v>400</v>
      </c>
      <c r="B313" s="71">
        <v>0.06</v>
      </c>
      <c r="C313" s="71">
        <v>0.53400000000000003</v>
      </c>
      <c r="D313" s="17" t="s">
        <v>1819</v>
      </c>
    </row>
    <row r="314" spans="1:4">
      <c r="A314" s="38">
        <v>400</v>
      </c>
      <c r="B314" s="71">
        <v>0.08</v>
      </c>
      <c r="C314" s="71">
        <v>0.4</v>
      </c>
      <c r="D314" s="17" t="s">
        <v>1819</v>
      </c>
    </row>
    <row r="315" spans="1:4">
      <c r="A315" s="38">
        <v>400</v>
      </c>
      <c r="B315" s="71">
        <v>0.1</v>
      </c>
      <c r="C315" s="71">
        <v>0.32100000000000001</v>
      </c>
      <c r="D315" s="17" t="s">
        <v>1819</v>
      </c>
    </row>
    <row r="316" spans="1:4">
      <c r="A316" s="38">
        <v>400</v>
      </c>
      <c r="B316" s="71">
        <v>0.12</v>
      </c>
      <c r="C316" s="71">
        <v>0.26899999999999996</v>
      </c>
      <c r="D316" s="17" t="s">
        <v>1819</v>
      </c>
    </row>
    <row r="317" spans="1:4">
      <c r="A317" s="38">
        <v>400</v>
      </c>
      <c r="B317" s="71">
        <v>0.14000000000000001</v>
      </c>
      <c r="C317" s="71">
        <v>0.23</v>
      </c>
      <c r="D317" s="17" t="s">
        <v>1819</v>
      </c>
    </row>
    <row r="318" spans="1:4">
      <c r="A318" s="38">
        <v>400</v>
      </c>
      <c r="B318" s="71">
        <v>0.16</v>
      </c>
      <c r="C318" s="71">
        <v>0.2</v>
      </c>
      <c r="D318" s="17" t="s">
        <v>1819</v>
      </c>
    </row>
    <row r="319" spans="1:4">
      <c r="A319" s="38">
        <v>400</v>
      </c>
      <c r="B319" s="71">
        <v>0.18</v>
      </c>
      <c r="C319" s="71">
        <v>0.17800000000000002</v>
      </c>
      <c r="D319" s="17" t="s">
        <v>1819</v>
      </c>
    </row>
    <row r="320" spans="1:4">
      <c r="A320" s="38">
        <v>400</v>
      </c>
      <c r="B320" s="33">
        <v>0.02</v>
      </c>
      <c r="C320" s="33">
        <v>0.96599999999999997</v>
      </c>
      <c r="D320" s="17" t="s">
        <v>1819</v>
      </c>
    </row>
    <row r="321" spans="1:4">
      <c r="A321" s="38">
        <v>400</v>
      </c>
      <c r="B321" s="33">
        <v>0.04</v>
      </c>
      <c r="C321" s="33">
        <v>0.64500000000000002</v>
      </c>
      <c r="D321" s="17" t="s">
        <v>1819</v>
      </c>
    </row>
    <row r="322" spans="1:4">
      <c r="A322" s="38">
        <v>400</v>
      </c>
      <c r="B322" s="33">
        <v>0.06</v>
      </c>
      <c r="C322" s="33">
        <v>0.53400000000000003</v>
      </c>
      <c r="D322" s="17" t="s">
        <v>1819</v>
      </c>
    </row>
    <row r="323" spans="1:4">
      <c r="A323" s="38">
        <v>400</v>
      </c>
      <c r="B323" s="33">
        <v>0.08</v>
      </c>
      <c r="C323" s="33">
        <v>0.40200000000000002</v>
      </c>
      <c r="D323" s="17" t="s">
        <v>1819</v>
      </c>
    </row>
    <row r="324" spans="1:4">
      <c r="A324" s="38">
        <v>400</v>
      </c>
      <c r="B324" s="33">
        <v>0.1</v>
      </c>
      <c r="C324" s="33">
        <v>0.32200000000000001</v>
      </c>
      <c r="D324" s="17" t="s">
        <v>1819</v>
      </c>
    </row>
    <row r="325" spans="1:4">
      <c r="A325" s="38">
        <v>400</v>
      </c>
      <c r="B325" s="33">
        <v>0.12</v>
      </c>
      <c r="C325" s="33">
        <v>0.28899999999999998</v>
      </c>
      <c r="D325" s="17" t="s">
        <v>1819</v>
      </c>
    </row>
    <row r="326" spans="1:4">
      <c r="A326" s="38">
        <v>400</v>
      </c>
      <c r="B326" s="33">
        <v>0.14000000000000001</v>
      </c>
      <c r="C326" s="33">
        <v>0.28899999999999998</v>
      </c>
      <c r="D326" s="17" t="s">
        <v>1819</v>
      </c>
    </row>
    <row r="327" spans="1:4">
      <c r="A327" s="38">
        <v>400</v>
      </c>
      <c r="B327" s="33">
        <v>0.16</v>
      </c>
      <c r="C327" s="33">
        <v>0.28899999999999998</v>
      </c>
      <c r="D327" s="17" t="s">
        <v>1819</v>
      </c>
    </row>
    <row r="328" spans="1:4">
      <c r="A328" s="38">
        <v>400</v>
      </c>
      <c r="B328" s="33">
        <v>0.18</v>
      </c>
      <c r="C328" s="33">
        <v>0.28899999999999998</v>
      </c>
      <c r="D328" s="17" t="s">
        <v>1819</v>
      </c>
    </row>
    <row r="329" spans="1:4">
      <c r="A329" s="38">
        <v>400</v>
      </c>
      <c r="B329" s="71">
        <v>0.02</v>
      </c>
      <c r="C329" s="71">
        <v>0.107</v>
      </c>
      <c r="D329" s="17" t="s">
        <v>1819</v>
      </c>
    </row>
    <row r="330" spans="1:4">
      <c r="A330" s="38">
        <v>400</v>
      </c>
      <c r="B330" s="71">
        <v>0.04</v>
      </c>
      <c r="C330" s="71">
        <v>5.7000000000000002E-2</v>
      </c>
      <c r="D330" s="17" t="s">
        <v>1819</v>
      </c>
    </row>
    <row r="331" spans="1:4">
      <c r="A331" s="38">
        <v>400</v>
      </c>
      <c r="B331" s="71">
        <v>0.06</v>
      </c>
      <c r="C331" s="71">
        <v>3.6000000000000004E-2</v>
      </c>
      <c r="D331" s="17" t="s">
        <v>1819</v>
      </c>
    </row>
    <row r="332" spans="1:4">
      <c r="A332" s="38">
        <v>400</v>
      </c>
      <c r="B332" s="71">
        <v>0.08</v>
      </c>
      <c r="C332" s="71">
        <v>2.7000000000000003E-2</v>
      </c>
      <c r="D332" s="17" t="s">
        <v>1819</v>
      </c>
    </row>
    <row r="333" spans="1:4">
      <c r="A333" s="38">
        <v>400</v>
      </c>
      <c r="B333" s="71">
        <v>0.1</v>
      </c>
      <c r="C333" s="71">
        <v>0.02</v>
      </c>
      <c r="D333" s="17" t="s">
        <v>1819</v>
      </c>
    </row>
    <row r="334" spans="1:4">
      <c r="A334" s="38">
        <v>400</v>
      </c>
      <c r="B334" s="71">
        <v>0.12</v>
      </c>
      <c r="C334" s="71">
        <v>1.6E-2</v>
      </c>
      <c r="D334" s="17" t="s">
        <v>1819</v>
      </c>
    </row>
    <row r="335" spans="1:4">
      <c r="A335" s="38">
        <v>400</v>
      </c>
      <c r="B335" s="71">
        <v>0.14000000000000001</v>
      </c>
      <c r="C335" s="71">
        <v>1.3000000000000001E-2</v>
      </c>
      <c r="D335" s="17" t="s">
        <v>1819</v>
      </c>
    </row>
    <row r="336" spans="1:4">
      <c r="A336" s="38">
        <v>400</v>
      </c>
      <c r="B336" s="71">
        <v>0.16</v>
      </c>
      <c r="C336" s="71">
        <v>9.0000000000000011E-3</v>
      </c>
      <c r="D336" s="17" t="s">
        <v>1819</v>
      </c>
    </row>
    <row r="337" spans="1:4">
      <c r="A337" s="38">
        <v>400</v>
      </c>
      <c r="B337" s="71">
        <v>0.18</v>
      </c>
      <c r="C337" s="71">
        <v>8.0000000000000002E-3</v>
      </c>
      <c r="D337" s="17" t="s">
        <v>1819</v>
      </c>
    </row>
    <row r="338" spans="1:4">
      <c r="A338" s="38">
        <v>400</v>
      </c>
      <c r="B338" s="33">
        <v>0.02</v>
      </c>
      <c r="C338" s="33">
        <v>0.21199999999999999</v>
      </c>
      <c r="D338" s="17" t="s">
        <v>1819</v>
      </c>
    </row>
    <row r="339" spans="1:4">
      <c r="A339" s="38">
        <v>400</v>
      </c>
      <c r="B339" s="33">
        <v>0.04</v>
      </c>
      <c r="C339" s="33">
        <v>0.17699999999999999</v>
      </c>
      <c r="D339" s="17" t="s">
        <v>1819</v>
      </c>
    </row>
    <row r="340" spans="1:4">
      <c r="A340" s="38">
        <v>400</v>
      </c>
      <c r="B340" s="33">
        <v>0.06</v>
      </c>
      <c r="C340" s="33">
        <v>0.17600000000000002</v>
      </c>
      <c r="D340" s="17" t="s">
        <v>1819</v>
      </c>
    </row>
    <row r="341" spans="1:4">
      <c r="A341" s="38">
        <v>400</v>
      </c>
      <c r="B341" s="33">
        <v>0.08</v>
      </c>
      <c r="C341" s="33">
        <v>0.16</v>
      </c>
      <c r="D341" s="17" t="s">
        <v>1819</v>
      </c>
    </row>
    <row r="342" spans="1:4">
      <c r="A342" s="38">
        <v>400</v>
      </c>
      <c r="B342" s="33">
        <v>0.1</v>
      </c>
      <c r="C342" s="33">
        <v>0.16</v>
      </c>
      <c r="D342" s="17" t="s">
        <v>1819</v>
      </c>
    </row>
    <row r="343" spans="1:4">
      <c r="A343" s="38">
        <v>400</v>
      </c>
      <c r="B343" s="33">
        <v>0.12</v>
      </c>
      <c r="C343" s="33">
        <v>0.158</v>
      </c>
      <c r="D343" s="17" t="s">
        <v>1819</v>
      </c>
    </row>
    <row r="344" spans="1:4">
      <c r="A344" s="38">
        <v>400</v>
      </c>
      <c r="B344" s="33">
        <v>0.14000000000000001</v>
      </c>
      <c r="C344" s="33">
        <v>0.14400000000000002</v>
      </c>
      <c r="D344" s="17" t="s">
        <v>1819</v>
      </c>
    </row>
    <row r="345" spans="1:4">
      <c r="A345" s="38">
        <v>400</v>
      </c>
      <c r="B345" s="33">
        <v>0.16</v>
      </c>
      <c r="C345" s="33">
        <v>0.14300000000000002</v>
      </c>
      <c r="D345" s="17" t="s">
        <v>1819</v>
      </c>
    </row>
    <row r="346" spans="1:4">
      <c r="A346" s="38">
        <v>400</v>
      </c>
      <c r="B346" s="33">
        <v>0.18</v>
      </c>
      <c r="C346" s="33">
        <v>0.13600000000000001</v>
      </c>
      <c r="D346" s="17" t="s">
        <v>1819</v>
      </c>
    </row>
    <row r="347" spans="1:4">
      <c r="A347" s="38">
        <v>400</v>
      </c>
      <c r="B347" s="71">
        <v>0.02</v>
      </c>
      <c r="C347" s="71">
        <v>0</v>
      </c>
      <c r="D347" s="17" t="s">
        <v>1819</v>
      </c>
    </row>
    <row r="348" spans="1:4">
      <c r="A348" s="38">
        <v>400</v>
      </c>
      <c r="B348" s="71">
        <v>0.04</v>
      </c>
      <c r="C348" s="71">
        <v>0</v>
      </c>
      <c r="D348" s="17" t="s">
        <v>1819</v>
      </c>
    </row>
    <row r="349" spans="1:4">
      <c r="A349" s="38">
        <v>400</v>
      </c>
      <c r="B349" s="71">
        <v>0.06</v>
      </c>
      <c r="C349" s="71">
        <v>0</v>
      </c>
      <c r="D349" s="17" t="s">
        <v>1819</v>
      </c>
    </row>
    <row r="350" spans="1:4">
      <c r="A350" s="38">
        <v>400</v>
      </c>
      <c r="B350" s="71">
        <v>0.08</v>
      </c>
      <c r="C350" s="71">
        <v>0</v>
      </c>
      <c r="D350" s="17" t="s">
        <v>1819</v>
      </c>
    </row>
    <row r="351" spans="1:4">
      <c r="A351" s="38">
        <v>400</v>
      </c>
      <c r="B351" s="71">
        <v>0.1</v>
      </c>
      <c r="C351" s="71">
        <v>0</v>
      </c>
      <c r="D351" s="17" t="s">
        <v>1819</v>
      </c>
    </row>
    <row r="352" spans="1:4">
      <c r="A352" s="38">
        <v>400</v>
      </c>
      <c r="B352" s="71">
        <v>0.12</v>
      </c>
      <c r="C352" s="71">
        <v>0</v>
      </c>
      <c r="D352" s="17" t="s">
        <v>1819</v>
      </c>
    </row>
    <row r="353" spans="1:4">
      <c r="A353" s="38">
        <v>400</v>
      </c>
      <c r="B353" s="71">
        <v>0.14000000000000001</v>
      </c>
      <c r="C353" s="71">
        <v>0</v>
      </c>
      <c r="D353" s="17" t="s">
        <v>1819</v>
      </c>
    </row>
    <row r="354" spans="1:4">
      <c r="A354" s="38">
        <v>400</v>
      </c>
      <c r="B354" s="71">
        <v>0.16</v>
      </c>
      <c r="C354" s="71">
        <v>0</v>
      </c>
      <c r="D354" s="17" t="s">
        <v>1819</v>
      </c>
    </row>
    <row r="355" spans="1:4">
      <c r="A355" s="38">
        <v>400</v>
      </c>
      <c r="B355" s="71">
        <v>0.18</v>
      </c>
      <c r="C355" s="71">
        <v>0</v>
      </c>
      <c r="D355" s="17" t="s">
        <v>1819</v>
      </c>
    </row>
    <row r="356" spans="1:4">
      <c r="A356" s="38">
        <v>400</v>
      </c>
      <c r="B356" s="33">
        <v>0.02</v>
      </c>
      <c r="C356" s="33">
        <v>0.14899999999999999</v>
      </c>
      <c r="D356" s="17" t="s">
        <v>1819</v>
      </c>
    </row>
    <row r="357" spans="1:4">
      <c r="A357" s="38">
        <v>400</v>
      </c>
      <c r="B357" s="33">
        <v>0.04</v>
      </c>
      <c r="C357" s="33">
        <v>0.14899999999999999</v>
      </c>
      <c r="D357" s="17" t="s">
        <v>1819</v>
      </c>
    </row>
    <row r="358" spans="1:4">
      <c r="A358" s="38">
        <v>400</v>
      </c>
      <c r="B358" s="33">
        <v>0.06</v>
      </c>
      <c r="C358" s="33">
        <v>0.14899999999999999</v>
      </c>
      <c r="D358" s="17" t="s">
        <v>1819</v>
      </c>
    </row>
    <row r="359" spans="1:4">
      <c r="A359" s="38">
        <v>400</v>
      </c>
      <c r="B359" s="33">
        <v>0.08</v>
      </c>
      <c r="C359" s="33">
        <v>0.14899999999999999</v>
      </c>
      <c r="D359" s="17" t="s">
        <v>1819</v>
      </c>
    </row>
    <row r="360" spans="1:4">
      <c r="A360" s="38">
        <v>400</v>
      </c>
      <c r="B360" s="33">
        <v>0.1</v>
      </c>
      <c r="C360" s="33">
        <v>0.14899999999999999</v>
      </c>
      <c r="D360" s="17" t="s">
        <v>1819</v>
      </c>
    </row>
    <row r="361" spans="1:4">
      <c r="A361" s="38">
        <v>400</v>
      </c>
      <c r="B361" s="33">
        <v>0.12</v>
      </c>
      <c r="C361" s="33">
        <v>0.14899999999999999</v>
      </c>
      <c r="D361" s="17" t="s">
        <v>1819</v>
      </c>
    </row>
    <row r="362" spans="1:4">
      <c r="A362" s="38">
        <v>400</v>
      </c>
      <c r="B362" s="33">
        <v>0.14000000000000001</v>
      </c>
      <c r="C362" s="33">
        <v>0.14899999999999999</v>
      </c>
      <c r="D362" s="17" t="s">
        <v>1819</v>
      </c>
    </row>
    <row r="363" spans="1:4">
      <c r="A363" s="38">
        <v>400</v>
      </c>
      <c r="B363" s="33">
        <v>0.16</v>
      </c>
      <c r="C363" s="33">
        <v>0.14899999999999999</v>
      </c>
      <c r="D363" s="17" t="s">
        <v>1819</v>
      </c>
    </row>
    <row r="364" spans="1:4">
      <c r="A364" s="38">
        <v>400</v>
      </c>
      <c r="B364" s="33">
        <v>0.18</v>
      </c>
      <c r="C364" s="33">
        <v>0.14899999999999999</v>
      </c>
      <c r="D364" s="17" t="s">
        <v>1819</v>
      </c>
    </row>
    <row r="365" spans="1:4">
      <c r="A365" s="38">
        <v>400</v>
      </c>
      <c r="B365" s="71">
        <v>0.02</v>
      </c>
      <c r="C365" s="71">
        <v>5.2999999999999999E-2</v>
      </c>
      <c r="D365" s="17" t="s">
        <v>1819</v>
      </c>
    </row>
    <row r="366" spans="1:4">
      <c r="A366" s="38">
        <v>400</v>
      </c>
      <c r="B366" s="71">
        <v>0.04</v>
      </c>
      <c r="C366" s="71">
        <v>5.2999999999999999E-2</v>
      </c>
      <c r="D366" s="17" t="s">
        <v>1819</v>
      </c>
    </row>
    <row r="367" spans="1:4">
      <c r="A367" s="38">
        <v>400</v>
      </c>
      <c r="B367" s="71">
        <v>0.06</v>
      </c>
      <c r="C367" s="71">
        <v>3.6000000000000004E-2</v>
      </c>
      <c r="D367" s="17" t="s">
        <v>1819</v>
      </c>
    </row>
    <row r="368" spans="1:4">
      <c r="A368" s="38">
        <v>400</v>
      </c>
      <c r="B368" s="71">
        <v>0.08</v>
      </c>
      <c r="C368" s="71">
        <v>2.7999999999999997E-2</v>
      </c>
      <c r="D368" s="17" t="s">
        <v>1819</v>
      </c>
    </row>
    <row r="369" spans="1:4">
      <c r="A369" s="38">
        <v>400</v>
      </c>
      <c r="B369" s="71">
        <v>0.1</v>
      </c>
      <c r="C369" s="71">
        <v>2.2000000000000002E-2</v>
      </c>
      <c r="D369" s="17" t="s">
        <v>1819</v>
      </c>
    </row>
    <row r="370" spans="1:4">
      <c r="A370" s="38">
        <v>400</v>
      </c>
      <c r="B370" s="71">
        <v>0.12</v>
      </c>
      <c r="C370" s="71">
        <v>1.7000000000000001E-2</v>
      </c>
      <c r="D370" s="17" t="s">
        <v>1819</v>
      </c>
    </row>
    <row r="371" spans="1:4">
      <c r="A371" s="38">
        <v>400</v>
      </c>
      <c r="B371" s="71">
        <v>0.14000000000000001</v>
      </c>
      <c r="C371" s="71">
        <v>1.3999999999999999E-2</v>
      </c>
      <c r="D371" s="17" t="s">
        <v>1819</v>
      </c>
    </row>
    <row r="372" spans="1:4">
      <c r="A372" s="38">
        <v>400</v>
      </c>
      <c r="B372" s="71">
        <v>0.16</v>
      </c>
      <c r="C372" s="71">
        <v>1.3999999999999999E-2</v>
      </c>
      <c r="D372" s="17" t="s">
        <v>1819</v>
      </c>
    </row>
    <row r="373" spans="1:4">
      <c r="A373" s="38">
        <v>400</v>
      </c>
      <c r="B373" s="71">
        <v>0.18</v>
      </c>
      <c r="C373" s="71">
        <v>1.1000000000000001E-2</v>
      </c>
      <c r="D373" s="17" t="s">
        <v>1819</v>
      </c>
    </row>
    <row r="374" spans="1:4">
      <c r="A374" s="38">
        <v>400</v>
      </c>
      <c r="B374" s="33">
        <v>0.02</v>
      </c>
      <c r="C374" s="33">
        <v>3.7000000000000005E-2</v>
      </c>
      <c r="D374" s="17" t="s">
        <v>1819</v>
      </c>
    </row>
    <row r="375" spans="1:4">
      <c r="A375" s="38">
        <v>400</v>
      </c>
      <c r="B375" s="33">
        <v>0.04</v>
      </c>
      <c r="C375" s="33">
        <v>3.7000000000000005E-2</v>
      </c>
      <c r="D375" s="17" t="s">
        <v>1819</v>
      </c>
    </row>
    <row r="376" spans="1:4">
      <c r="A376" s="38">
        <v>400</v>
      </c>
      <c r="B376" s="33">
        <v>0.06</v>
      </c>
      <c r="C376" s="33">
        <v>3.6000000000000004E-2</v>
      </c>
      <c r="D376" s="17" t="s">
        <v>1819</v>
      </c>
    </row>
    <row r="377" spans="1:4">
      <c r="A377" s="38">
        <v>400</v>
      </c>
      <c r="B377" s="33">
        <v>0.08</v>
      </c>
      <c r="C377" s="33">
        <v>3.2000000000000001E-2</v>
      </c>
      <c r="D377" s="17" t="s">
        <v>1819</v>
      </c>
    </row>
    <row r="378" spans="1:4">
      <c r="A378" s="38">
        <v>400</v>
      </c>
      <c r="B378" s="33">
        <v>0.1</v>
      </c>
      <c r="C378" s="33">
        <v>0.03</v>
      </c>
      <c r="D378" s="17" t="s">
        <v>1819</v>
      </c>
    </row>
    <row r="379" spans="1:4">
      <c r="A379" s="38">
        <v>400</v>
      </c>
      <c r="B379" s="33">
        <v>0.12</v>
      </c>
      <c r="C379" s="33">
        <v>0.03</v>
      </c>
      <c r="D379" s="17" t="s">
        <v>1819</v>
      </c>
    </row>
    <row r="380" spans="1:4">
      <c r="A380" s="38">
        <v>400</v>
      </c>
      <c r="B380" s="33">
        <v>0.14000000000000001</v>
      </c>
      <c r="C380" s="33">
        <v>0.03</v>
      </c>
      <c r="D380" s="17" t="s">
        <v>1819</v>
      </c>
    </row>
    <row r="381" spans="1:4">
      <c r="A381" s="38">
        <v>400</v>
      </c>
      <c r="B381" s="33">
        <v>0.16</v>
      </c>
      <c r="C381" s="33">
        <v>2.7999999999999997E-2</v>
      </c>
      <c r="D381" s="17" t="s">
        <v>1819</v>
      </c>
    </row>
    <row r="382" spans="1:4">
      <c r="A382" s="38">
        <v>400</v>
      </c>
      <c r="B382" s="33">
        <v>0.18</v>
      </c>
      <c r="C382" s="33">
        <v>2.6000000000000002E-2</v>
      </c>
      <c r="D382" s="17" t="s">
        <v>1819</v>
      </c>
    </row>
  </sheetData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3:F201"/>
  <sheetViews>
    <sheetView zoomScaleNormal="100" workbookViewId="0">
      <selection activeCell="C17" sqref="C17"/>
    </sheetView>
  </sheetViews>
  <sheetFormatPr baseColWidth="10" defaultColWidth="14.5" defaultRowHeight="13"/>
  <cols>
    <col min="1" max="2" width="14.5" style="22"/>
    <col min="3" max="3" width="19.33203125" style="22" customWidth="1"/>
    <col min="4" max="4" width="29.83203125" style="22" customWidth="1"/>
    <col min="5" max="5" width="9" style="22" customWidth="1"/>
    <col min="6" max="6" width="19.6640625" style="22" customWidth="1"/>
    <col min="7" max="16384" width="14.5" style="22"/>
  </cols>
  <sheetData>
    <row r="3" spans="2:6">
      <c r="B3" s="37" t="s">
        <v>0</v>
      </c>
      <c r="C3" s="37" t="s">
        <v>1499</v>
      </c>
      <c r="D3" s="67" t="s">
        <v>1501</v>
      </c>
      <c r="F3" s="37" t="s">
        <v>1787</v>
      </c>
    </row>
    <row r="4" spans="2:6">
      <c r="B4" s="42">
        <v>87</v>
      </c>
      <c r="C4" s="43">
        <v>0.12</v>
      </c>
      <c r="D4" s="43">
        <v>3.0000000000000001E-3</v>
      </c>
      <c r="F4" s="43" t="s">
        <v>1516</v>
      </c>
    </row>
    <row r="5" spans="2:6">
      <c r="B5" s="42">
        <v>87</v>
      </c>
      <c r="C5" s="43">
        <v>0.15</v>
      </c>
      <c r="D5" s="43">
        <v>0.01</v>
      </c>
      <c r="F5" s="43" t="s">
        <v>1516</v>
      </c>
    </row>
    <row r="6" spans="2:6">
      <c r="B6" s="42">
        <v>87</v>
      </c>
      <c r="C6" s="43">
        <v>0.19500000000000001</v>
      </c>
      <c r="D6" s="43">
        <v>3.7999999999999999E-2</v>
      </c>
      <c r="F6" s="43" t="s">
        <v>1516</v>
      </c>
    </row>
    <row r="7" spans="2:6">
      <c r="B7" s="42">
        <v>87</v>
      </c>
      <c r="C7" s="43">
        <v>0.23</v>
      </c>
      <c r="D7" s="43">
        <v>0.1</v>
      </c>
      <c r="F7" s="43" t="s">
        <v>1516</v>
      </c>
    </row>
    <row r="8" spans="2:6">
      <c r="B8" s="42">
        <v>87</v>
      </c>
      <c r="C8" s="43">
        <v>0.255</v>
      </c>
      <c r="D8" s="43">
        <v>0.193</v>
      </c>
      <c r="F8" s="43" t="s">
        <v>1516</v>
      </c>
    </row>
    <row r="9" spans="2:6">
      <c r="B9" s="42">
        <v>87</v>
      </c>
      <c r="C9" s="43">
        <v>0.26900000000000002</v>
      </c>
      <c r="D9" s="43">
        <v>0.28899999999999998</v>
      </c>
      <c r="F9" s="43" t="s">
        <v>1516</v>
      </c>
    </row>
    <row r="10" spans="2:6">
      <c r="B10" s="42">
        <v>87</v>
      </c>
      <c r="C10" s="43">
        <v>0.28100000000000003</v>
      </c>
      <c r="D10" s="43">
        <v>0.42899999999999999</v>
      </c>
      <c r="F10" s="43" t="s">
        <v>1516</v>
      </c>
    </row>
    <row r="11" spans="2:6">
      <c r="B11" s="42">
        <v>87</v>
      </c>
      <c r="C11" s="43">
        <v>0.23300000000000001</v>
      </c>
      <c r="D11" s="43">
        <v>3.0000000000000001E-3</v>
      </c>
      <c r="F11" s="43" t="s">
        <v>1516</v>
      </c>
    </row>
    <row r="12" spans="2:6">
      <c r="B12" s="42">
        <v>87</v>
      </c>
      <c r="C12" s="43">
        <v>0.29299999999999998</v>
      </c>
      <c r="D12" s="43">
        <v>1.6E-2</v>
      </c>
      <c r="F12" s="43" t="s">
        <v>1516</v>
      </c>
    </row>
    <row r="13" spans="2:6">
      <c r="B13" s="42">
        <v>87</v>
      </c>
      <c r="C13" s="43">
        <v>0.35799999999999998</v>
      </c>
      <c r="D13" s="43">
        <v>4.7E-2</v>
      </c>
      <c r="F13" s="43" t="s">
        <v>1516</v>
      </c>
    </row>
    <row r="14" spans="2:6">
      <c r="B14" s="42">
        <v>87</v>
      </c>
      <c r="C14" s="43">
        <v>0.42799999999999999</v>
      </c>
      <c r="D14" s="43">
        <v>0.112</v>
      </c>
      <c r="F14" s="43" t="s">
        <v>1516</v>
      </c>
    </row>
    <row r="15" spans="2:6">
      <c r="B15" s="42">
        <v>87</v>
      </c>
      <c r="C15" s="43">
        <v>0.47199999999999998</v>
      </c>
      <c r="D15" s="43">
        <v>0.20200000000000001</v>
      </c>
      <c r="F15" s="43" t="s">
        <v>1516</v>
      </c>
    </row>
    <row r="16" spans="2:6">
      <c r="B16" s="42">
        <v>87</v>
      </c>
      <c r="C16" s="43">
        <v>0.499</v>
      </c>
      <c r="D16" s="43">
        <v>0.35699999999999998</v>
      </c>
      <c r="F16" s="43" t="s">
        <v>1516</v>
      </c>
    </row>
    <row r="17" spans="2:6">
      <c r="B17" s="42">
        <v>103</v>
      </c>
      <c r="C17" s="43">
        <v>0.17100000000000001</v>
      </c>
      <c r="D17" s="43">
        <v>4.0000000000000001E-3</v>
      </c>
      <c r="F17" s="43" t="s">
        <v>1516</v>
      </c>
    </row>
    <row r="18" spans="2:6">
      <c r="B18" s="42">
        <v>103</v>
      </c>
      <c r="C18" s="43">
        <v>0.25700000000000001</v>
      </c>
      <c r="D18" s="43">
        <v>2.4E-2</v>
      </c>
      <c r="F18" s="43" t="s">
        <v>1516</v>
      </c>
    </row>
    <row r="19" spans="2:6">
      <c r="B19" s="42">
        <v>103</v>
      </c>
      <c r="C19" s="43">
        <v>0.34599999999999997</v>
      </c>
      <c r="D19" s="43">
        <v>9.5000000000000001E-2</v>
      </c>
      <c r="F19" s="43" t="s">
        <v>1516</v>
      </c>
    </row>
    <row r="20" spans="2:6">
      <c r="B20" s="42">
        <v>103</v>
      </c>
      <c r="C20" s="43">
        <v>0.45</v>
      </c>
      <c r="D20" s="43">
        <v>0.222</v>
      </c>
      <c r="F20" s="43" t="s">
        <v>1516</v>
      </c>
    </row>
    <row r="21" spans="2:6">
      <c r="B21" s="42">
        <v>103</v>
      </c>
      <c r="C21" s="43">
        <v>0.58499999999999996</v>
      </c>
      <c r="D21" s="43">
        <v>0.47099999999999997</v>
      </c>
      <c r="F21" s="43" t="s">
        <v>1516</v>
      </c>
    </row>
    <row r="22" spans="2:6">
      <c r="B22" s="42">
        <v>103</v>
      </c>
      <c r="C22" s="43">
        <v>0.22</v>
      </c>
      <c r="D22" s="43">
        <v>4.0000000000000001E-3</v>
      </c>
      <c r="F22" s="43" t="s">
        <v>1516</v>
      </c>
    </row>
    <row r="23" spans="2:6">
      <c r="B23" s="42">
        <v>103</v>
      </c>
      <c r="C23" s="43">
        <v>0.28999999999999998</v>
      </c>
      <c r="D23" s="43">
        <v>2.4E-2</v>
      </c>
      <c r="F23" s="43" t="s">
        <v>1516</v>
      </c>
    </row>
    <row r="24" spans="2:6">
      <c r="B24" s="42">
        <v>103</v>
      </c>
      <c r="C24" s="43">
        <v>0.39700000000000002</v>
      </c>
      <c r="D24" s="43">
        <v>0.114</v>
      </c>
      <c r="F24" s="43" t="s">
        <v>1516</v>
      </c>
    </row>
    <row r="25" spans="2:6">
      <c r="B25" s="42">
        <v>103</v>
      </c>
      <c r="C25" s="43">
        <v>0.48899999999999999</v>
      </c>
      <c r="D25" s="43">
        <v>0.23499999999999999</v>
      </c>
      <c r="F25" s="43" t="s">
        <v>1516</v>
      </c>
    </row>
    <row r="26" spans="2:6">
      <c r="B26" s="42">
        <v>103</v>
      </c>
      <c r="C26" s="43">
        <v>0.56899999999999995</v>
      </c>
      <c r="D26" s="43">
        <v>0.39</v>
      </c>
      <c r="F26" s="43" t="s">
        <v>1516</v>
      </c>
    </row>
    <row r="27" spans="2:6">
      <c r="B27" s="42">
        <v>104</v>
      </c>
      <c r="C27" s="43">
        <v>0.22</v>
      </c>
      <c r="D27" s="43">
        <v>2E-3</v>
      </c>
      <c r="F27" s="43" t="s">
        <v>1516</v>
      </c>
    </row>
    <row r="28" spans="2:6">
      <c r="B28" s="42">
        <v>104</v>
      </c>
      <c r="C28" s="43">
        <v>0.36</v>
      </c>
      <c r="D28" s="43">
        <v>2.4E-2</v>
      </c>
      <c r="F28" s="43" t="s">
        <v>1516</v>
      </c>
    </row>
    <row r="29" spans="2:6">
      <c r="B29" s="42">
        <v>104</v>
      </c>
      <c r="C29" s="43">
        <v>0.503</v>
      </c>
      <c r="D29" s="43">
        <v>7.5999999999999998E-2</v>
      </c>
      <c r="F29" s="43" t="s">
        <v>1516</v>
      </c>
    </row>
    <row r="30" spans="2:6">
      <c r="B30" s="42">
        <v>104</v>
      </c>
      <c r="C30" s="43">
        <v>0.61499999999999999</v>
      </c>
      <c r="D30" s="43">
        <v>0.14199999999999999</v>
      </c>
      <c r="F30" s="43" t="s">
        <v>1516</v>
      </c>
    </row>
    <row r="31" spans="2:6">
      <c r="B31" s="42">
        <v>104</v>
      </c>
      <c r="C31" s="43">
        <v>0.71399999999999997</v>
      </c>
      <c r="D31" s="43">
        <v>0.23</v>
      </c>
      <c r="F31" s="43" t="s">
        <v>1516</v>
      </c>
    </row>
    <row r="32" spans="2:6">
      <c r="B32" s="42">
        <v>104</v>
      </c>
      <c r="C32" s="43">
        <v>0.79800000000000004</v>
      </c>
      <c r="D32" s="43">
        <v>0.33200000000000002</v>
      </c>
      <c r="F32" s="43" t="s">
        <v>1516</v>
      </c>
    </row>
    <row r="33" spans="2:6">
      <c r="B33" s="42">
        <v>104</v>
      </c>
      <c r="C33" s="43">
        <v>0.38400000000000001</v>
      </c>
      <c r="D33" s="43">
        <v>8.0000000000000002E-3</v>
      </c>
      <c r="F33" s="43" t="s">
        <v>1516</v>
      </c>
    </row>
    <row r="34" spans="2:6">
      <c r="B34" s="42">
        <v>104</v>
      </c>
      <c r="C34" s="43">
        <v>0.53200000000000003</v>
      </c>
      <c r="D34" s="43">
        <v>3.7999999999999999E-2</v>
      </c>
      <c r="F34" s="43" t="s">
        <v>1516</v>
      </c>
    </row>
    <row r="35" spans="2:6">
      <c r="B35" s="42">
        <v>104</v>
      </c>
      <c r="C35" s="43">
        <v>0.629</v>
      </c>
      <c r="D35" s="43">
        <v>7.3999999999999996E-2</v>
      </c>
      <c r="F35" s="43" t="s">
        <v>1516</v>
      </c>
    </row>
    <row r="36" spans="2:6">
      <c r="B36" s="42">
        <v>104</v>
      </c>
      <c r="C36" s="43">
        <v>0.73599999999999999</v>
      </c>
      <c r="D36" s="43">
        <v>0.13600000000000001</v>
      </c>
      <c r="F36" s="43" t="s">
        <v>1516</v>
      </c>
    </row>
    <row r="37" spans="2:6">
      <c r="B37" s="42">
        <v>104</v>
      </c>
      <c r="C37" s="43">
        <v>0.79800000000000004</v>
      </c>
      <c r="D37" s="43">
        <v>0.186</v>
      </c>
      <c r="F37" s="43" t="s">
        <v>1516</v>
      </c>
    </row>
    <row r="38" spans="2:6">
      <c r="B38" s="42">
        <v>104</v>
      </c>
      <c r="C38" s="43">
        <v>0.42299999999999999</v>
      </c>
      <c r="D38" s="43">
        <v>8.9999999999999993E-3</v>
      </c>
      <c r="F38" s="43" t="s">
        <v>1516</v>
      </c>
    </row>
    <row r="39" spans="2:6">
      <c r="B39" s="42">
        <v>104</v>
      </c>
      <c r="C39" s="43">
        <v>0.55700000000000005</v>
      </c>
      <c r="D39" s="43">
        <v>2.7E-2</v>
      </c>
      <c r="F39" s="43" t="s">
        <v>1516</v>
      </c>
    </row>
    <row r="40" spans="2:6">
      <c r="B40" s="42">
        <v>104</v>
      </c>
      <c r="C40" s="43">
        <v>0.70299999999999996</v>
      </c>
      <c r="D40" s="43">
        <v>8.1000000000000003E-2</v>
      </c>
      <c r="F40" s="43" t="s">
        <v>1516</v>
      </c>
    </row>
    <row r="41" spans="2:6">
      <c r="B41" s="42">
        <v>104</v>
      </c>
      <c r="C41" s="43">
        <v>0.79800000000000004</v>
      </c>
      <c r="D41" s="43">
        <v>0.13100000000000001</v>
      </c>
      <c r="F41" s="43" t="s">
        <v>1516</v>
      </c>
    </row>
    <row r="42" spans="2:6">
      <c r="B42" s="42">
        <v>104</v>
      </c>
      <c r="C42" s="43">
        <v>0.51700000000000002</v>
      </c>
      <c r="D42" s="43">
        <v>1.6E-2</v>
      </c>
      <c r="F42" s="43" t="s">
        <v>1516</v>
      </c>
    </row>
    <row r="43" spans="2:6">
      <c r="B43" s="42">
        <v>104</v>
      </c>
      <c r="C43" s="43">
        <v>0.621</v>
      </c>
      <c r="D43" s="43">
        <v>3.5999999999999997E-2</v>
      </c>
      <c r="F43" s="43" t="s">
        <v>1516</v>
      </c>
    </row>
    <row r="44" spans="2:6">
      <c r="B44" s="42">
        <v>104</v>
      </c>
      <c r="C44" s="43">
        <v>0.71899999999999997</v>
      </c>
      <c r="D44" s="43">
        <v>7.4999999999999997E-2</v>
      </c>
      <c r="F44" s="43" t="s">
        <v>1516</v>
      </c>
    </row>
    <row r="45" spans="2:6">
      <c r="B45" s="42">
        <v>104</v>
      </c>
      <c r="C45" s="43">
        <v>0.79700000000000004</v>
      </c>
      <c r="D45" s="43">
        <v>0.115</v>
      </c>
      <c r="F45" s="43" t="s">
        <v>1516</v>
      </c>
    </row>
    <row r="46" spans="2:6">
      <c r="B46" s="42">
        <v>104</v>
      </c>
      <c r="C46" s="43">
        <v>0.40699999999999997</v>
      </c>
      <c r="D46" s="43">
        <v>5.0000000000000001E-3</v>
      </c>
      <c r="F46" s="43" t="s">
        <v>1516</v>
      </c>
    </row>
    <row r="47" spans="2:6">
      <c r="B47" s="42">
        <v>104</v>
      </c>
      <c r="C47" s="43">
        <v>0.60799999999999998</v>
      </c>
      <c r="D47" s="43">
        <v>2.5999999999999999E-2</v>
      </c>
      <c r="F47" s="43" t="s">
        <v>1516</v>
      </c>
    </row>
    <row r="48" spans="2:6">
      <c r="B48" s="42">
        <v>104</v>
      </c>
      <c r="C48" s="43">
        <v>0.72399999999999998</v>
      </c>
      <c r="D48" s="43">
        <v>5.7000000000000002E-2</v>
      </c>
      <c r="F48" s="43" t="s">
        <v>1516</v>
      </c>
    </row>
    <row r="49" spans="2:6">
      <c r="B49" s="42">
        <v>104</v>
      </c>
      <c r="C49" s="43">
        <v>0.79700000000000004</v>
      </c>
      <c r="D49" s="43">
        <v>9.4E-2</v>
      </c>
      <c r="F49" s="43" t="s">
        <v>1516</v>
      </c>
    </row>
    <row r="50" spans="2:6">
      <c r="B50" s="44">
        <v>117</v>
      </c>
      <c r="C50" s="43">
        <v>0.2</v>
      </c>
      <c r="D50" s="107">
        <v>1.8939999999999999E-2</v>
      </c>
      <c r="F50" s="43" t="s">
        <v>1508</v>
      </c>
    </row>
    <row r="51" spans="2:6">
      <c r="B51" s="44">
        <v>117</v>
      </c>
      <c r="C51" s="43">
        <v>0.22800000000000001</v>
      </c>
      <c r="D51" s="107">
        <v>6.275E-2</v>
      </c>
      <c r="F51" s="43" t="s">
        <v>1508</v>
      </c>
    </row>
    <row r="52" spans="2:6">
      <c r="B52" s="44">
        <v>117</v>
      </c>
      <c r="C52" s="43">
        <v>0.245</v>
      </c>
      <c r="D52" s="107">
        <v>0.25840999999999997</v>
      </c>
      <c r="F52" s="43" t="s">
        <v>1508</v>
      </c>
    </row>
    <row r="53" spans="2:6">
      <c r="B53" s="44">
        <v>117</v>
      </c>
      <c r="C53" s="43">
        <v>0.252</v>
      </c>
      <c r="D53" s="107">
        <v>0.52720999999999996</v>
      </c>
      <c r="F53" s="43" t="s">
        <v>1508</v>
      </c>
    </row>
    <row r="54" spans="2:6">
      <c r="B54" s="44">
        <v>117</v>
      </c>
      <c r="C54" s="43">
        <v>0.26200000000000001</v>
      </c>
      <c r="D54" s="107">
        <v>1.00492</v>
      </c>
      <c r="F54" s="43" t="s">
        <v>1508</v>
      </c>
    </row>
    <row r="55" spans="2:6">
      <c r="B55" s="44">
        <v>117</v>
      </c>
      <c r="C55" s="43">
        <v>0.249</v>
      </c>
      <c r="D55" s="107">
        <v>1.554E-2</v>
      </c>
      <c r="F55" s="43" t="s">
        <v>1508</v>
      </c>
    </row>
    <row r="56" spans="2:6">
      <c r="B56" s="44">
        <v>117</v>
      </c>
      <c r="C56" s="43">
        <v>0.29699999999999999</v>
      </c>
      <c r="D56" s="107">
        <v>6.0999999999999999E-2</v>
      </c>
      <c r="F56" s="43" t="s">
        <v>1508</v>
      </c>
    </row>
    <row r="57" spans="2:6">
      <c r="B57" s="44">
        <v>117</v>
      </c>
      <c r="C57" s="43">
        <v>0.32800000000000001</v>
      </c>
      <c r="D57" s="107">
        <v>0.32790000000000002</v>
      </c>
      <c r="F57" s="43" t="s">
        <v>1508</v>
      </c>
    </row>
    <row r="58" spans="2:6">
      <c r="B58" s="44">
        <v>117</v>
      </c>
      <c r="C58" s="43">
        <v>0.33800000000000002</v>
      </c>
      <c r="D58" s="107">
        <v>0.76797000000000004</v>
      </c>
      <c r="F58" s="43" t="s">
        <v>1508</v>
      </c>
    </row>
    <row r="59" spans="2:6">
      <c r="B59" s="44">
        <v>117</v>
      </c>
      <c r="C59" s="43">
        <v>0.34</v>
      </c>
      <c r="D59" s="107">
        <v>1.00274</v>
      </c>
      <c r="F59" s="43" t="s">
        <v>1508</v>
      </c>
    </row>
    <row r="60" spans="2:6">
      <c r="B60" s="44">
        <v>117</v>
      </c>
      <c r="C60" s="43">
        <v>0.25600000000000001</v>
      </c>
      <c r="D60" s="107">
        <v>2.2200000000000001E-2</v>
      </c>
      <c r="F60" s="43" t="s">
        <v>1508</v>
      </c>
    </row>
    <row r="61" spans="2:6">
      <c r="B61" s="44">
        <v>117</v>
      </c>
      <c r="C61" s="43">
        <v>0.312</v>
      </c>
      <c r="D61" s="107">
        <v>0.10681</v>
      </c>
      <c r="F61" s="43" t="s">
        <v>1508</v>
      </c>
    </row>
    <row r="62" spans="2:6">
      <c r="B62" s="44">
        <v>117</v>
      </c>
      <c r="C62" s="43">
        <v>0.36799999999999999</v>
      </c>
      <c r="D62" s="107">
        <v>0.32747999999999999</v>
      </c>
      <c r="F62" s="43" t="s">
        <v>1508</v>
      </c>
    </row>
    <row r="63" spans="2:6">
      <c r="B63" s="44">
        <v>117</v>
      </c>
      <c r="C63" s="43">
        <v>0.39900000000000002</v>
      </c>
      <c r="D63" s="107">
        <v>0.66163000000000005</v>
      </c>
      <c r="F63" s="43" t="s">
        <v>1508</v>
      </c>
    </row>
    <row r="64" spans="2:6">
      <c r="B64" s="44">
        <v>117</v>
      </c>
      <c r="C64" s="43">
        <v>0.41299999999999998</v>
      </c>
      <c r="D64" s="107">
        <v>0.99983</v>
      </c>
      <c r="F64" s="43" t="s">
        <v>1508</v>
      </c>
    </row>
    <row r="65" spans="2:6">
      <c r="B65" s="44">
        <v>117</v>
      </c>
      <c r="C65" s="43">
        <v>0.23799999999999999</v>
      </c>
      <c r="D65" s="107">
        <v>2.1610000000000001E-2</v>
      </c>
      <c r="F65" s="43" t="s">
        <v>1508</v>
      </c>
    </row>
    <row r="66" spans="2:6">
      <c r="B66" s="44">
        <v>117</v>
      </c>
      <c r="C66" s="43">
        <v>0.28599999999999998</v>
      </c>
      <c r="D66" s="107">
        <v>8.6550000000000002E-2</v>
      </c>
      <c r="F66" s="43" t="s">
        <v>1508</v>
      </c>
    </row>
    <row r="67" spans="2:6">
      <c r="B67" s="44">
        <v>117</v>
      </c>
      <c r="C67" s="43">
        <v>0.33500000000000002</v>
      </c>
      <c r="D67" s="107">
        <v>0.2621</v>
      </c>
      <c r="F67" s="43" t="s">
        <v>1508</v>
      </c>
    </row>
    <row r="68" spans="2:6">
      <c r="B68" s="44">
        <v>117</v>
      </c>
      <c r="C68" s="43">
        <v>0.37</v>
      </c>
      <c r="D68" s="107">
        <v>0.58089999999999997</v>
      </c>
      <c r="F68" s="43" t="s">
        <v>1508</v>
      </c>
    </row>
    <row r="69" spans="2:6">
      <c r="B69" s="44">
        <v>117</v>
      </c>
      <c r="C69" s="43">
        <v>0.39</v>
      </c>
      <c r="D69" s="107">
        <v>0.99875000000000003</v>
      </c>
      <c r="F69" s="43" t="s">
        <v>1508</v>
      </c>
    </row>
    <row r="70" spans="2:6">
      <c r="B70" s="44">
        <v>117</v>
      </c>
      <c r="C70" s="43">
        <v>0.28399999999999997</v>
      </c>
      <c r="D70" s="107">
        <v>2.342E-2</v>
      </c>
      <c r="F70" s="43" t="s">
        <v>1508</v>
      </c>
    </row>
    <row r="71" spans="2:6">
      <c r="B71" s="44">
        <v>117</v>
      </c>
      <c r="C71" s="43">
        <v>0.33700000000000002</v>
      </c>
      <c r="D71" s="107">
        <v>7.1849999999999997E-2</v>
      </c>
      <c r="F71" s="43" t="s">
        <v>1508</v>
      </c>
    </row>
    <row r="72" spans="2:6">
      <c r="B72" s="44">
        <v>117</v>
      </c>
      <c r="C72" s="43">
        <v>0.373</v>
      </c>
      <c r="D72" s="107">
        <v>0.18043999999999999</v>
      </c>
      <c r="F72" s="43" t="s">
        <v>1508</v>
      </c>
    </row>
    <row r="73" spans="2:6">
      <c r="B73" s="44">
        <v>117</v>
      </c>
      <c r="C73" s="43">
        <v>0.40100000000000002</v>
      </c>
      <c r="D73" s="107">
        <v>0.41506999999999999</v>
      </c>
      <c r="F73" s="43" t="s">
        <v>1508</v>
      </c>
    </row>
    <row r="74" spans="2:6">
      <c r="B74" s="44">
        <v>117</v>
      </c>
      <c r="C74" s="43">
        <v>0.41599999999999998</v>
      </c>
      <c r="D74" s="107">
        <v>0.72482999999999997</v>
      </c>
      <c r="F74" s="43" t="s">
        <v>1508</v>
      </c>
    </row>
    <row r="75" spans="2:6">
      <c r="B75" s="44">
        <v>117</v>
      </c>
      <c r="C75" s="43">
        <v>0.42299999999999999</v>
      </c>
      <c r="D75" s="107">
        <v>0.99629000000000001</v>
      </c>
      <c r="F75" s="43" t="s">
        <v>1508</v>
      </c>
    </row>
    <row r="76" spans="2:6">
      <c r="B76" s="44">
        <v>117</v>
      </c>
      <c r="C76" s="43">
        <v>0.29599999999999999</v>
      </c>
      <c r="D76" s="107">
        <v>1.0330000000000001E-2</v>
      </c>
      <c r="F76" s="43" t="s">
        <v>1508</v>
      </c>
    </row>
    <row r="77" spans="2:6">
      <c r="B77" s="44">
        <v>117</v>
      </c>
      <c r="C77" s="43">
        <v>0.38800000000000001</v>
      </c>
      <c r="D77" s="107">
        <v>0.11848</v>
      </c>
      <c r="F77" s="43" t="s">
        <v>1508</v>
      </c>
    </row>
    <row r="78" spans="2:6">
      <c r="B78" s="44">
        <v>117</v>
      </c>
      <c r="C78" s="43">
        <v>0.41599999999999998</v>
      </c>
      <c r="D78" s="107">
        <v>0.24537999999999999</v>
      </c>
      <c r="F78" s="43" t="s">
        <v>1508</v>
      </c>
    </row>
    <row r="79" spans="2:6">
      <c r="B79" s="44">
        <v>117</v>
      </c>
      <c r="C79" s="43">
        <v>0.43099999999999999</v>
      </c>
      <c r="D79" s="107">
        <v>0.50236999999999998</v>
      </c>
      <c r="F79" s="43" t="s">
        <v>1508</v>
      </c>
    </row>
    <row r="80" spans="2:6">
      <c r="B80" s="44">
        <v>117</v>
      </c>
      <c r="C80" s="43">
        <v>0.438</v>
      </c>
      <c r="D80" s="107">
        <v>0.99824000000000002</v>
      </c>
      <c r="F80" s="43" t="s">
        <v>1508</v>
      </c>
    </row>
    <row r="81" spans="2:6">
      <c r="B81" s="42">
        <v>118</v>
      </c>
      <c r="C81" s="43">
        <v>0.19900000000000001</v>
      </c>
      <c r="D81" s="43">
        <v>2.5129999999999998E-4</v>
      </c>
      <c r="F81" s="43" t="s">
        <v>1516</v>
      </c>
    </row>
    <row r="82" spans="2:6">
      <c r="B82" s="42">
        <v>118</v>
      </c>
      <c r="C82" s="43">
        <v>0.1</v>
      </c>
      <c r="D82" s="43">
        <v>0.01</v>
      </c>
      <c r="F82" s="43" t="s">
        <v>1516</v>
      </c>
    </row>
    <row r="83" spans="2:6">
      <c r="B83" s="42">
        <v>118</v>
      </c>
      <c r="C83" s="43">
        <v>0.20899999999999999</v>
      </c>
      <c r="D83" s="43">
        <v>0.01</v>
      </c>
      <c r="F83" s="43" t="s">
        <v>1516</v>
      </c>
    </row>
    <row r="84" spans="2:6">
      <c r="B84" s="42">
        <v>118</v>
      </c>
      <c r="C84" s="43">
        <v>0.20100000000000001</v>
      </c>
      <c r="D84" s="43">
        <v>1.886E-4</v>
      </c>
      <c r="F84" s="43" t="s">
        <v>1516</v>
      </c>
    </row>
    <row r="85" spans="2:6">
      <c r="B85" s="42">
        <v>118</v>
      </c>
      <c r="C85" s="43">
        <v>0.3</v>
      </c>
      <c r="D85" s="43">
        <v>5.0000000000000001E-3</v>
      </c>
      <c r="F85" s="43" t="s">
        <v>1516</v>
      </c>
    </row>
    <row r="86" spans="2:6">
      <c r="B86" s="42">
        <v>118</v>
      </c>
      <c r="C86" s="43">
        <v>0.13</v>
      </c>
      <c r="D86" s="43">
        <v>3.0000000000000001E-3</v>
      </c>
      <c r="F86" s="43" t="s">
        <v>1516</v>
      </c>
    </row>
    <row r="87" spans="2:6">
      <c r="B87" s="42">
        <v>118</v>
      </c>
      <c r="C87" s="43">
        <v>0.33</v>
      </c>
      <c r="D87" s="43">
        <v>1.6E-2</v>
      </c>
      <c r="F87" s="43" t="s">
        <v>1516</v>
      </c>
    </row>
    <row r="88" spans="2:6" ht="14">
      <c r="B88" s="72">
        <v>354</v>
      </c>
      <c r="C88" s="39">
        <v>0.2</v>
      </c>
      <c r="D88" s="39">
        <v>0</v>
      </c>
      <c r="F88" s="38" t="s">
        <v>1516</v>
      </c>
    </row>
    <row r="89" spans="2:6" ht="14">
      <c r="B89" s="72">
        <v>354</v>
      </c>
      <c r="C89" s="39">
        <v>0.30599999999999999</v>
      </c>
      <c r="D89" s="39">
        <v>5.0000000000000001E-3</v>
      </c>
      <c r="F89" s="38" t="s">
        <v>1516</v>
      </c>
    </row>
    <row r="90" spans="2:6" ht="14">
      <c r="B90" s="72">
        <v>354</v>
      </c>
      <c r="C90" s="39">
        <v>0.40899999999999997</v>
      </c>
      <c r="D90" s="39">
        <v>0.03</v>
      </c>
      <c r="F90" s="38" t="s">
        <v>1516</v>
      </c>
    </row>
    <row r="91" spans="2:6" ht="14">
      <c r="B91" s="72">
        <v>354</v>
      </c>
      <c r="C91" s="39">
        <v>0.218</v>
      </c>
      <c r="D91" s="39">
        <v>0</v>
      </c>
      <c r="F91" s="38" t="s">
        <v>1516</v>
      </c>
    </row>
    <row r="92" spans="2:6" ht="14">
      <c r="B92" s="72">
        <v>354</v>
      </c>
      <c r="C92" s="39">
        <v>0.316</v>
      </c>
      <c r="D92" s="39">
        <v>2.8000000000000001E-2</v>
      </c>
      <c r="F92" s="38" t="s">
        <v>1516</v>
      </c>
    </row>
    <row r="93" spans="2:6" ht="14">
      <c r="B93" s="72">
        <v>354</v>
      </c>
      <c r="C93" s="39">
        <v>0.2</v>
      </c>
      <c r="D93" s="39">
        <v>6.0000000000000001E-3</v>
      </c>
      <c r="F93" s="38" t="s">
        <v>1516</v>
      </c>
    </row>
    <row r="94" spans="2:6" ht="14">
      <c r="B94" s="72">
        <v>354</v>
      </c>
      <c r="C94" s="39">
        <v>0.26500000000000001</v>
      </c>
      <c r="D94" s="39">
        <v>6.7000000000000004E-2</v>
      </c>
      <c r="F94" s="38" t="s">
        <v>1516</v>
      </c>
    </row>
    <row r="95" spans="2:6" ht="14">
      <c r="B95" s="72">
        <v>354</v>
      </c>
      <c r="C95" s="39">
        <v>0.20699999999999999</v>
      </c>
      <c r="D95" s="39">
        <v>0</v>
      </c>
      <c r="F95" s="38" t="s">
        <v>1516</v>
      </c>
    </row>
    <row r="96" spans="2:6" ht="14">
      <c r="B96" s="72">
        <v>354</v>
      </c>
      <c r="C96" s="39">
        <v>0.27800000000000002</v>
      </c>
      <c r="D96" s="39">
        <v>5.0000000000000001E-3</v>
      </c>
      <c r="F96" s="38" t="s">
        <v>1516</v>
      </c>
    </row>
    <row r="97" spans="2:6" ht="14">
      <c r="B97" s="42">
        <v>337</v>
      </c>
      <c r="C97" s="39">
        <v>0.2</v>
      </c>
      <c r="D97" s="39">
        <v>0.16</v>
      </c>
      <c r="F97" s="38" t="s">
        <v>1516</v>
      </c>
    </row>
    <row r="98" spans="2:6" ht="14">
      <c r="B98" s="42">
        <v>337</v>
      </c>
      <c r="C98" s="39">
        <v>0.32</v>
      </c>
      <c r="D98" s="39">
        <v>0.08</v>
      </c>
      <c r="F98" s="38" t="s">
        <v>1516</v>
      </c>
    </row>
    <row r="99" spans="2:6">
      <c r="B99" s="42">
        <v>17</v>
      </c>
      <c r="C99" s="18">
        <v>0.8</v>
      </c>
      <c r="D99" s="18">
        <v>7.0000000000000007E-2</v>
      </c>
      <c r="F99" s="18" t="s">
        <v>1516</v>
      </c>
    </row>
    <row r="100" spans="2:6">
      <c r="B100" s="35">
        <v>387</v>
      </c>
      <c r="C100" s="24">
        <v>0.05</v>
      </c>
      <c r="D100" s="24">
        <v>0</v>
      </c>
      <c r="F100" s="24" t="s">
        <v>1789</v>
      </c>
    </row>
    <row r="101" spans="2:6">
      <c r="B101" s="42">
        <v>118</v>
      </c>
      <c r="C101" s="43">
        <v>0.3</v>
      </c>
      <c r="D101" s="43">
        <v>5.0000000000000001E-3</v>
      </c>
      <c r="F101" s="43" t="s">
        <v>1518</v>
      </c>
    </row>
    <row r="102" spans="2:6">
      <c r="B102" s="42">
        <v>118</v>
      </c>
      <c r="C102" s="43">
        <v>0.39</v>
      </c>
      <c r="D102" s="43">
        <v>2.8000000000000001E-2</v>
      </c>
      <c r="F102" s="43" t="s">
        <v>1518</v>
      </c>
    </row>
    <row r="103" spans="2:6">
      <c r="B103" s="42">
        <v>118</v>
      </c>
      <c r="C103" s="43">
        <v>0.48</v>
      </c>
      <c r="D103" s="43">
        <v>0.05</v>
      </c>
      <c r="F103" s="43" t="s">
        <v>1518</v>
      </c>
    </row>
    <row r="104" spans="2:6">
      <c r="B104" s="42">
        <v>118</v>
      </c>
      <c r="C104" s="43">
        <v>9.9000000000000005E-2</v>
      </c>
      <c r="D104" s="43">
        <v>2.3719999999999999E-4</v>
      </c>
      <c r="F104" s="43" t="s">
        <v>1518</v>
      </c>
    </row>
    <row r="105" spans="2:6">
      <c r="B105" s="42">
        <v>118</v>
      </c>
      <c r="C105" s="43">
        <v>0.13</v>
      </c>
      <c r="D105" s="43">
        <v>1.194E-4</v>
      </c>
      <c r="F105" s="43" t="s">
        <v>1518</v>
      </c>
    </row>
    <row r="106" spans="2:6">
      <c r="B106" s="42">
        <v>118</v>
      </c>
      <c r="C106" s="43">
        <v>0.29799999999999999</v>
      </c>
      <c r="D106" s="43">
        <v>5.0000000000000001E-3</v>
      </c>
      <c r="F106" s="43" t="s">
        <v>1511</v>
      </c>
    </row>
    <row r="107" spans="2:6">
      <c r="B107" s="42">
        <v>118</v>
      </c>
      <c r="C107" s="43">
        <v>0.12</v>
      </c>
      <c r="D107" s="43">
        <v>1.9000000000000001E-4</v>
      </c>
      <c r="F107" s="43" t="s">
        <v>1517</v>
      </c>
    </row>
    <row r="108" spans="2:6">
      <c r="B108" s="42">
        <v>118</v>
      </c>
      <c r="C108" s="43">
        <v>0.23</v>
      </c>
      <c r="D108" s="43">
        <v>2.3719999999999999E-4</v>
      </c>
      <c r="F108" s="43" t="s">
        <v>1517</v>
      </c>
    </row>
    <row r="109" spans="2:6">
      <c r="B109" s="42">
        <v>118</v>
      </c>
      <c r="C109" s="43">
        <v>0.34</v>
      </c>
      <c r="D109" s="43">
        <v>5.0000000000000001E-3</v>
      </c>
      <c r="F109" s="43" t="s">
        <v>1517</v>
      </c>
    </row>
    <row r="110" spans="2:6">
      <c r="B110" s="42">
        <v>118</v>
      </c>
      <c r="C110" s="43">
        <v>0.46899999999999997</v>
      </c>
      <c r="D110" s="43">
        <v>2.3E-2</v>
      </c>
      <c r="F110" s="43" t="s">
        <v>1517</v>
      </c>
    </row>
    <row r="111" spans="2:6">
      <c r="B111" s="42">
        <v>118</v>
      </c>
      <c r="C111" s="43">
        <v>0.14000000000000001</v>
      </c>
      <c r="D111" s="43">
        <v>2.31E-4</v>
      </c>
      <c r="F111" s="43" t="s">
        <v>1519</v>
      </c>
    </row>
    <row r="112" spans="2:6">
      <c r="B112" s="42">
        <v>118</v>
      </c>
      <c r="C112" s="43">
        <v>0.21</v>
      </c>
      <c r="D112" s="43">
        <v>1E-3</v>
      </c>
      <c r="F112" s="43" t="s">
        <v>1519</v>
      </c>
    </row>
    <row r="113" spans="2:6">
      <c r="B113" s="42">
        <v>118</v>
      </c>
      <c r="C113" s="43">
        <v>0.28000000000000003</v>
      </c>
      <c r="D113" s="43">
        <v>3.0000000000000001E-3</v>
      </c>
      <c r="F113" s="43" t="s">
        <v>1519</v>
      </c>
    </row>
    <row r="114" spans="2:6">
      <c r="B114" s="42">
        <v>153</v>
      </c>
      <c r="C114" s="43">
        <v>0.34</v>
      </c>
      <c r="D114" s="43">
        <v>4.0000000000000001E-3</v>
      </c>
      <c r="F114" s="43" t="s">
        <v>1517</v>
      </c>
    </row>
    <row r="115" spans="2:6">
      <c r="B115" s="42">
        <v>153</v>
      </c>
      <c r="C115" s="43">
        <v>0.41499999999999998</v>
      </c>
      <c r="D115" s="43">
        <v>1.7000000000000001E-2</v>
      </c>
      <c r="F115" s="43" t="s">
        <v>1517</v>
      </c>
    </row>
    <row r="116" spans="2:6">
      <c r="B116" s="42">
        <v>153</v>
      </c>
      <c r="C116" s="43">
        <v>0.49</v>
      </c>
      <c r="D116" s="43">
        <v>4.1000000000000002E-2</v>
      </c>
      <c r="F116" s="43" t="s">
        <v>1517</v>
      </c>
    </row>
    <row r="117" spans="2:6">
      <c r="B117" s="42">
        <v>153</v>
      </c>
      <c r="C117" s="43">
        <v>0.56399999999999995</v>
      </c>
      <c r="D117" s="43">
        <v>0.10100000000000001</v>
      </c>
      <c r="F117" s="43" t="s">
        <v>1517</v>
      </c>
    </row>
    <row r="118" spans="2:6">
      <c r="B118" s="42">
        <v>153</v>
      </c>
      <c r="C118" s="43">
        <v>0.64</v>
      </c>
      <c r="D118" s="43">
        <v>0.182</v>
      </c>
      <c r="F118" s="43" t="s">
        <v>1517</v>
      </c>
    </row>
    <row r="119" spans="2:6">
      <c r="B119" s="42">
        <v>153</v>
      </c>
      <c r="C119" s="43">
        <v>0.34</v>
      </c>
      <c r="D119" s="43">
        <v>3.0000000000000001E-3</v>
      </c>
      <c r="F119" s="43" t="s">
        <v>1517</v>
      </c>
    </row>
    <row r="120" spans="2:6">
      <c r="B120" s="42">
        <v>153</v>
      </c>
      <c r="C120" s="43">
        <v>0.41499999999999998</v>
      </c>
      <c r="D120" s="43">
        <v>1.0999999999999999E-2</v>
      </c>
      <c r="F120" s="43" t="s">
        <v>1517</v>
      </c>
    </row>
    <row r="121" spans="2:6">
      <c r="B121" s="42">
        <v>153</v>
      </c>
      <c r="C121" s="43">
        <v>0.49</v>
      </c>
      <c r="D121" s="43">
        <v>0.02</v>
      </c>
      <c r="F121" s="43" t="s">
        <v>1517</v>
      </c>
    </row>
    <row r="122" spans="2:6">
      <c r="B122" s="42">
        <v>153</v>
      </c>
      <c r="C122" s="43">
        <v>0.56499999999999995</v>
      </c>
      <c r="D122" s="43">
        <v>5.8999999999999997E-2</v>
      </c>
      <c r="F122" s="43" t="s">
        <v>1517</v>
      </c>
    </row>
    <row r="123" spans="2:6">
      <c r="B123" s="42">
        <v>153</v>
      </c>
      <c r="C123" s="43">
        <v>0.64</v>
      </c>
      <c r="D123" s="43">
        <v>0.13200000000000001</v>
      </c>
      <c r="F123" s="43" t="s">
        <v>1517</v>
      </c>
    </row>
    <row r="124" spans="2:6">
      <c r="B124" s="42">
        <v>153</v>
      </c>
      <c r="C124" s="43">
        <v>0.34</v>
      </c>
      <c r="D124" s="43">
        <v>2E-3</v>
      </c>
      <c r="F124" s="43" t="s">
        <v>1517</v>
      </c>
    </row>
    <row r="125" spans="2:6">
      <c r="B125" s="42">
        <v>153</v>
      </c>
      <c r="C125" s="43">
        <v>0.41499999999999998</v>
      </c>
      <c r="D125" s="43">
        <v>8.0000000000000002E-3</v>
      </c>
      <c r="F125" s="43" t="s">
        <v>1517</v>
      </c>
    </row>
    <row r="126" spans="2:6">
      <c r="B126" s="42">
        <v>153</v>
      </c>
      <c r="C126" s="43">
        <v>0.49</v>
      </c>
      <c r="D126" s="43">
        <v>1.4E-2</v>
      </c>
      <c r="F126" s="43" t="s">
        <v>1517</v>
      </c>
    </row>
    <row r="127" spans="2:6">
      <c r="B127" s="42">
        <v>153</v>
      </c>
      <c r="C127" s="43">
        <v>0.56499999999999995</v>
      </c>
      <c r="D127" s="43">
        <v>3.1E-2</v>
      </c>
      <c r="F127" s="43" t="s">
        <v>1517</v>
      </c>
    </row>
    <row r="128" spans="2:6">
      <c r="B128" s="42">
        <v>153</v>
      </c>
      <c r="C128" s="43">
        <v>0.64</v>
      </c>
      <c r="D128" s="43">
        <v>6.3E-2</v>
      </c>
      <c r="F128" s="43" t="s">
        <v>1517</v>
      </c>
    </row>
    <row r="129" spans="2:6">
      <c r="B129" s="42">
        <v>153</v>
      </c>
      <c r="C129" s="43">
        <v>0.34</v>
      </c>
      <c r="D129" s="43">
        <v>9.6829999999999996E-4</v>
      </c>
      <c r="F129" s="43" t="s">
        <v>1517</v>
      </c>
    </row>
    <row r="130" spans="2:6">
      <c r="B130" s="42">
        <v>153</v>
      </c>
      <c r="C130" s="43">
        <v>0.41499999999999998</v>
      </c>
      <c r="D130" s="43">
        <v>4.0000000000000001E-3</v>
      </c>
      <c r="F130" s="43" t="s">
        <v>1517</v>
      </c>
    </row>
    <row r="131" spans="2:6">
      <c r="B131" s="42">
        <v>153</v>
      </c>
      <c r="C131" s="43">
        <v>0.49</v>
      </c>
      <c r="D131" s="43">
        <v>6.0000000000000001E-3</v>
      </c>
      <c r="F131" s="43" t="s">
        <v>1517</v>
      </c>
    </row>
    <row r="132" spans="2:6">
      <c r="B132" s="42">
        <v>153</v>
      </c>
      <c r="C132" s="43">
        <v>0.56499999999999995</v>
      </c>
      <c r="D132" s="43">
        <v>2.3E-2</v>
      </c>
      <c r="F132" s="43" t="s">
        <v>1517</v>
      </c>
    </row>
    <row r="133" spans="2:6">
      <c r="B133" s="42">
        <v>153</v>
      </c>
      <c r="C133" s="43">
        <v>0.64</v>
      </c>
      <c r="D133" s="43">
        <v>0.04</v>
      </c>
      <c r="F133" s="43" t="s">
        <v>1517</v>
      </c>
    </row>
    <row r="134" spans="2:6">
      <c r="B134" s="42">
        <v>257</v>
      </c>
      <c r="C134" s="18">
        <v>0.37</v>
      </c>
      <c r="D134" s="18">
        <v>0.14000000000000001</v>
      </c>
      <c r="F134" s="43" t="s">
        <v>1517</v>
      </c>
    </row>
    <row r="135" spans="2:6">
      <c r="B135" s="42">
        <v>257</v>
      </c>
      <c r="C135" s="18">
        <v>0.37</v>
      </c>
      <c r="D135" s="18">
        <v>7.0000000000000007E-2</v>
      </c>
      <c r="F135" s="43" t="s">
        <v>1517</v>
      </c>
    </row>
    <row r="136" spans="2:6">
      <c r="B136" s="42">
        <v>267</v>
      </c>
      <c r="C136" s="18">
        <v>0.2</v>
      </c>
      <c r="D136" s="20">
        <v>1.7000000000000001E-2</v>
      </c>
      <c r="F136" s="18" t="s">
        <v>1521</v>
      </c>
    </row>
    <row r="137" spans="2:6">
      <c r="B137" s="42">
        <v>267</v>
      </c>
      <c r="C137" s="18">
        <v>0.2</v>
      </c>
      <c r="D137" s="20">
        <v>1.7000000000000001E-2</v>
      </c>
      <c r="F137" s="18" t="s">
        <v>1511</v>
      </c>
    </row>
    <row r="138" spans="2:6">
      <c r="B138" s="42">
        <v>406</v>
      </c>
      <c r="C138" s="18">
        <v>0.35</v>
      </c>
      <c r="D138" s="20">
        <v>6.0000000000000001E-3</v>
      </c>
      <c r="F138" s="18" t="s">
        <v>1502</v>
      </c>
    </row>
    <row r="139" spans="2:6">
      <c r="B139" s="42">
        <v>406</v>
      </c>
      <c r="C139" s="18">
        <v>0.5</v>
      </c>
      <c r="D139" s="20">
        <v>5.0000000000000001E-3</v>
      </c>
      <c r="F139" s="18" t="s">
        <v>1502</v>
      </c>
    </row>
    <row r="140" spans="2:6">
      <c r="B140" s="42">
        <v>406</v>
      </c>
      <c r="C140" s="18">
        <v>0.6</v>
      </c>
      <c r="D140" s="18">
        <v>0.01</v>
      </c>
      <c r="F140" s="18" t="s">
        <v>1502</v>
      </c>
    </row>
    <row r="141" spans="2:6">
      <c r="B141" s="42">
        <v>413</v>
      </c>
      <c r="C141" s="20">
        <v>0.27100000000000002</v>
      </c>
      <c r="D141" s="20">
        <v>2.9999999999999997E-4</v>
      </c>
      <c r="F141" s="20" t="s">
        <v>1507</v>
      </c>
    </row>
    <row r="142" spans="2:6">
      <c r="B142" s="42">
        <v>413</v>
      </c>
      <c r="C142" s="20">
        <v>0.27100000000000002</v>
      </c>
      <c r="D142" s="20">
        <v>1.5E-3</v>
      </c>
      <c r="F142" s="20" t="s">
        <v>1507</v>
      </c>
    </row>
    <row r="143" spans="2:6">
      <c r="B143" s="42">
        <v>413</v>
      </c>
      <c r="C143" s="20">
        <v>0.27100000000000002</v>
      </c>
      <c r="D143" s="20">
        <v>0</v>
      </c>
      <c r="F143" s="20" t="s">
        <v>1507</v>
      </c>
    </row>
    <row r="144" spans="2:6">
      <c r="B144" s="42">
        <v>413</v>
      </c>
      <c r="C144" s="20">
        <v>0.27100000000000002</v>
      </c>
      <c r="D144" s="20">
        <v>4.0000000000000002E-4</v>
      </c>
      <c r="F144" s="20" t="s">
        <v>1507</v>
      </c>
    </row>
    <row r="145" spans="2:6">
      <c r="B145" s="42">
        <v>413</v>
      </c>
      <c r="C145" s="20">
        <v>0.32600000000000001</v>
      </c>
      <c r="D145" s="20">
        <v>2.5000000000000001E-3</v>
      </c>
      <c r="F145" s="20" t="s">
        <v>1507</v>
      </c>
    </row>
    <row r="146" spans="2:6">
      <c r="B146" s="42">
        <v>413</v>
      </c>
      <c r="C146" s="20">
        <v>0.32600000000000001</v>
      </c>
      <c r="D146" s="20">
        <v>8.3000000000000001E-3</v>
      </c>
      <c r="F146" s="20" t="s">
        <v>1507</v>
      </c>
    </row>
    <row r="147" spans="2:6">
      <c r="B147" s="42">
        <v>413</v>
      </c>
      <c r="C147" s="20">
        <v>0.32600000000000001</v>
      </c>
      <c r="D147" s="20">
        <v>8.0000000000000004E-4</v>
      </c>
      <c r="F147" s="20" t="s">
        <v>1507</v>
      </c>
    </row>
    <row r="148" spans="2:6">
      <c r="B148" s="42">
        <v>413</v>
      </c>
      <c r="C148" s="20">
        <v>0.32600000000000001</v>
      </c>
      <c r="D148" s="20">
        <v>3.4999999999999996E-3</v>
      </c>
      <c r="F148" s="20" t="s">
        <v>1507</v>
      </c>
    </row>
    <row r="149" spans="2:6">
      <c r="B149" s="42">
        <v>413</v>
      </c>
      <c r="C149" s="20">
        <v>0.41699999999999998</v>
      </c>
      <c r="D149" s="20">
        <v>1.6E-2</v>
      </c>
      <c r="F149" s="20" t="s">
        <v>1507</v>
      </c>
    </row>
    <row r="150" spans="2:6">
      <c r="B150" s="42">
        <v>413</v>
      </c>
      <c r="C150" s="20">
        <v>0.41699999999999998</v>
      </c>
      <c r="D150" s="20">
        <v>3.2000000000000001E-2</v>
      </c>
      <c r="F150" s="20" t="s">
        <v>1507</v>
      </c>
    </row>
    <row r="151" spans="2:6">
      <c r="B151" s="42">
        <v>413</v>
      </c>
      <c r="C151" s="20">
        <v>0.41699999999999998</v>
      </c>
      <c r="D151" s="20">
        <v>9.0000000000000011E-3</v>
      </c>
      <c r="F151" s="20" t="s">
        <v>1507</v>
      </c>
    </row>
    <row r="152" spans="2:6">
      <c r="B152" s="42">
        <v>413</v>
      </c>
      <c r="C152" s="20">
        <v>0.41699999999999998</v>
      </c>
      <c r="D152" s="20">
        <v>2.2000000000000002E-2</v>
      </c>
      <c r="F152" s="20" t="s">
        <v>1507</v>
      </c>
    </row>
    <row r="153" spans="2:6">
      <c r="B153" s="42">
        <v>441</v>
      </c>
      <c r="C153" s="18">
        <v>0.51</v>
      </c>
      <c r="D153" s="18">
        <v>0</v>
      </c>
      <c r="F153" s="20" t="s">
        <v>1507</v>
      </c>
    </row>
    <row r="154" spans="2:6">
      <c r="B154" s="42">
        <v>441</v>
      </c>
      <c r="C154" s="18">
        <v>0.6</v>
      </c>
      <c r="D154" s="18">
        <v>0</v>
      </c>
      <c r="F154" s="20" t="s">
        <v>1507</v>
      </c>
    </row>
    <row r="155" spans="2:6">
      <c r="B155" s="42">
        <v>441</v>
      </c>
      <c r="C155" s="18">
        <v>0.64</v>
      </c>
      <c r="D155" s="18">
        <v>0</v>
      </c>
      <c r="F155" s="20" t="s">
        <v>1507</v>
      </c>
    </row>
    <row r="156" spans="2:6">
      <c r="B156" s="42">
        <v>441</v>
      </c>
      <c r="C156" s="18">
        <v>0.8</v>
      </c>
      <c r="D156" s="18">
        <v>0.02</v>
      </c>
      <c r="F156" s="20" t="s">
        <v>1507</v>
      </c>
    </row>
    <row r="157" spans="2:6">
      <c r="B157" s="42">
        <v>441</v>
      </c>
      <c r="C157" s="18">
        <v>0.94</v>
      </c>
      <c r="D157" s="18">
        <v>0.17</v>
      </c>
      <c r="F157" s="20" t="s">
        <v>1507</v>
      </c>
    </row>
    <row r="158" spans="2:6" ht="14">
      <c r="B158" s="72">
        <v>140</v>
      </c>
      <c r="C158" s="39">
        <v>0.17</v>
      </c>
      <c r="D158" s="78">
        <v>0</v>
      </c>
      <c r="F158" s="38" t="s">
        <v>1517</v>
      </c>
    </row>
    <row r="159" spans="2:6" ht="14">
      <c r="B159" s="72">
        <v>140</v>
      </c>
      <c r="C159" s="39">
        <v>0.34499999999999997</v>
      </c>
      <c r="D159" s="78">
        <v>0</v>
      </c>
      <c r="F159" s="38" t="s">
        <v>1517</v>
      </c>
    </row>
    <row r="160" spans="2:6" ht="14">
      <c r="B160" s="72">
        <v>140</v>
      </c>
      <c r="C160" s="39">
        <v>0.5</v>
      </c>
      <c r="D160" s="39">
        <v>1.2999999999999999E-2</v>
      </c>
      <c r="F160" s="38" t="s">
        <v>1517</v>
      </c>
    </row>
    <row r="161" spans="2:6" ht="14">
      <c r="B161" s="72">
        <v>140</v>
      </c>
      <c r="C161" s="39">
        <v>0.61499999999999999</v>
      </c>
      <c r="D161" s="78">
        <v>0.06</v>
      </c>
      <c r="F161" s="38" t="s">
        <v>1517</v>
      </c>
    </row>
    <row r="162" spans="2:6" ht="14">
      <c r="B162" s="72">
        <v>140</v>
      </c>
      <c r="C162" s="39">
        <v>0.69499999999999995</v>
      </c>
      <c r="D162" s="78">
        <v>0.14000000000000001</v>
      </c>
      <c r="F162" s="38" t="s">
        <v>1517</v>
      </c>
    </row>
    <row r="163" spans="2:6" ht="14">
      <c r="B163" s="72">
        <v>140</v>
      </c>
      <c r="C163" s="39">
        <v>0.17</v>
      </c>
      <c r="D163" s="78">
        <v>0</v>
      </c>
      <c r="F163" s="38" t="s">
        <v>1517</v>
      </c>
    </row>
    <row r="164" spans="2:6" ht="14">
      <c r="B164" s="72">
        <v>140</v>
      </c>
      <c r="C164" s="39">
        <v>0.34499999999999997</v>
      </c>
      <c r="D164" s="78">
        <v>0</v>
      </c>
      <c r="F164" s="38" t="s">
        <v>1517</v>
      </c>
    </row>
    <row r="165" spans="2:6" ht="14">
      <c r="B165" s="72">
        <v>140</v>
      </c>
      <c r="C165" s="39">
        <v>0.5</v>
      </c>
      <c r="D165" s="39">
        <v>7.0000000000000001E-3</v>
      </c>
      <c r="F165" s="38" t="s">
        <v>1517</v>
      </c>
    </row>
    <row r="166" spans="2:6" ht="14">
      <c r="B166" s="72">
        <v>140</v>
      </c>
      <c r="C166" s="39">
        <v>0.63500000000000001</v>
      </c>
      <c r="D166" s="78">
        <v>0.04</v>
      </c>
      <c r="F166" s="38" t="s">
        <v>1517</v>
      </c>
    </row>
    <row r="167" spans="2:6" ht="14">
      <c r="B167" s="72">
        <v>140</v>
      </c>
      <c r="C167" s="39">
        <v>0.72</v>
      </c>
      <c r="D167" s="39">
        <v>0.105</v>
      </c>
      <c r="F167" s="38" t="s">
        <v>1517</v>
      </c>
    </row>
    <row r="168" spans="2:6" ht="14">
      <c r="B168" s="72">
        <v>396</v>
      </c>
      <c r="C168" s="78">
        <v>0.36</v>
      </c>
      <c r="D168" s="78">
        <v>0.04</v>
      </c>
      <c r="F168" s="38" t="s">
        <v>1507</v>
      </c>
    </row>
    <row r="169" spans="2:6" ht="14">
      <c r="B169" s="72">
        <v>396</v>
      </c>
      <c r="C169" s="78">
        <v>0.69</v>
      </c>
      <c r="D169" s="78">
        <v>0.11</v>
      </c>
      <c r="F169" s="38" t="s">
        <v>1507</v>
      </c>
    </row>
    <row r="170" spans="2:6" ht="14">
      <c r="B170" s="72">
        <v>396</v>
      </c>
      <c r="C170" s="78">
        <v>0.73</v>
      </c>
      <c r="D170" s="78">
        <v>0.06</v>
      </c>
      <c r="F170" s="38" t="s">
        <v>1507</v>
      </c>
    </row>
    <row r="171" spans="2:6" ht="14">
      <c r="B171" s="72">
        <v>396</v>
      </c>
      <c r="C171" s="78">
        <v>0.76</v>
      </c>
      <c r="D171" s="78">
        <v>0.01</v>
      </c>
      <c r="F171" s="38" t="s">
        <v>1507</v>
      </c>
    </row>
    <row r="172" spans="2:6" ht="14">
      <c r="B172" s="72">
        <v>396</v>
      </c>
      <c r="C172" s="78">
        <v>0.88</v>
      </c>
      <c r="D172" s="78">
        <v>0.08</v>
      </c>
      <c r="F172" s="38" t="s">
        <v>1507</v>
      </c>
    </row>
    <row r="173" spans="2:6" ht="14">
      <c r="B173" s="42">
        <v>454</v>
      </c>
      <c r="C173" s="39">
        <v>0.159</v>
      </c>
      <c r="D173" s="39">
        <v>6.0000000000000001E-3</v>
      </c>
      <c r="F173" s="38" t="s">
        <v>1535</v>
      </c>
    </row>
    <row r="174" spans="2:6" ht="14">
      <c r="B174" s="42">
        <v>454</v>
      </c>
      <c r="C174" s="39">
        <v>0.31</v>
      </c>
      <c r="D174" s="39">
        <v>0.03</v>
      </c>
      <c r="F174" s="38" t="s">
        <v>1535</v>
      </c>
    </row>
    <row r="175" spans="2:6" ht="14">
      <c r="B175" s="35">
        <v>1488</v>
      </c>
      <c r="C175" s="92">
        <v>8.4000000000000005E-2</v>
      </c>
      <c r="D175" s="92">
        <v>7.0000000000000001E-3</v>
      </c>
      <c r="F175" s="38" t="s">
        <v>1530</v>
      </c>
    </row>
    <row r="176" spans="2:6" ht="14">
      <c r="B176" s="35">
        <v>1488</v>
      </c>
      <c r="C176" s="92">
        <v>8.5999999999999993E-2</v>
      </c>
      <c r="D176" s="92">
        <v>8.9999999999999993E-3</v>
      </c>
      <c r="F176" s="38" t="s">
        <v>1530</v>
      </c>
    </row>
    <row r="177" spans="2:6" ht="14">
      <c r="B177" s="35">
        <v>1488</v>
      </c>
      <c r="C177" s="92">
        <v>9.7000000000000003E-2</v>
      </c>
      <c r="D177" s="21">
        <v>2.1000000000000001E-2</v>
      </c>
      <c r="F177" s="38" t="s">
        <v>1530</v>
      </c>
    </row>
    <row r="178" spans="2:6" ht="14">
      <c r="B178" s="35">
        <v>1488</v>
      </c>
      <c r="C178" s="92">
        <v>0.13300000000000001</v>
      </c>
      <c r="D178" s="21">
        <v>0.05</v>
      </c>
      <c r="F178" s="38" t="s">
        <v>1530</v>
      </c>
    </row>
    <row r="179" spans="2:6" ht="14">
      <c r="B179" s="35">
        <v>1488</v>
      </c>
      <c r="C179" s="92">
        <v>0.13</v>
      </c>
      <c r="D179" s="21">
        <v>4.3999999999999997E-2</v>
      </c>
      <c r="F179" s="38" t="s">
        <v>1530</v>
      </c>
    </row>
    <row r="180" spans="2:6" ht="14">
      <c r="B180" s="35">
        <v>1488</v>
      </c>
      <c r="C180" s="94">
        <v>5.6000000000000001E-2</v>
      </c>
      <c r="D180" s="94">
        <v>4.0000000000000001E-3</v>
      </c>
      <c r="F180" s="38" t="s">
        <v>1824</v>
      </c>
    </row>
    <row r="181" spans="2:6" ht="14">
      <c r="B181" s="35">
        <v>1488</v>
      </c>
      <c r="C181" s="94">
        <v>8.1000000000000003E-2</v>
      </c>
      <c r="D181" s="94">
        <v>2.4E-2</v>
      </c>
      <c r="F181" s="38" t="s">
        <v>1824</v>
      </c>
    </row>
    <row r="182" spans="2:6" ht="14">
      <c r="B182" s="35">
        <v>1488</v>
      </c>
      <c r="C182" s="94">
        <v>9.5000000000000001E-2</v>
      </c>
      <c r="D182" s="94">
        <v>3.5999999999999997E-2</v>
      </c>
      <c r="F182" s="38" t="s">
        <v>1824</v>
      </c>
    </row>
    <row r="183" spans="2:6" ht="14">
      <c r="B183" s="35">
        <v>1488</v>
      </c>
      <c r="C183" s="94">
        <v>0.11899999999999999</v>
      </c>
      <c r="D183" s="94">
        <v>5.7000000000000002E-2</v>
      </c>
      <c r="F183" s="38" t="s">
        <v>1824</v>
      </c>
    </row>
    <row r="184" spans="2:6" ht="14">
      <c r="B184" s="35">
        <v>1488</v>
      </c>
      <c r="C184" s="94">
        <v>0.111</v>
      </c>
      <c r="D184" s="94">
        <v>5.6000000000000001E-2</v>
      </c>
      <c r="F184" s="38" t="s">
        <v>1824</v>
      </c>
    </row>
    <row r="185" spans="2:6">
      <c r="C185" s="93"/>
      <c r="D185" s="93"/>
    </row>
    <row r="186" spans="2:6">
      <c r="C186" s="93"/>
      <c r="D186" s="93"/>
    </row>
    <row r="187" spans="2:6">
      <c r="B187" s="22" t="s">
        <v>1887</v>
      </c>
    </row>
    <row r="192" spans="2:6">
      <c r="B192"/>
      <c r="C192"/>
      <c r="D192"/>
      <c r="E192"/>
      <c r="F192"/>
    </row>
    <row r="193" spans="2:6">
      <c r="B193"/>
      <c r="C193"/>
      <c r="D193"/>
      <c r="E193"/>
      <c r="F193"/>
    </row>
    <row r="194" spans="2:6">
      <c r="B194"/>
      <c r="C194"/>
      <c r="D194"/>
      <c r="E194"/>
      <c r="F194"/>
    </row>
    <row r="195" spans="2:6">
      <c r="B195"/>
      <c r="C195"/>
      <c r="D195"/>
      <c r="E195"/>
      <c r="F195"/>
    </row>
    <row r="196" spans="2:6">
      <c r="B196"/>
      <c r="C196"/>
      <c r="D196"/>
      <c r="E196"/>
      <c r="F196"/>
    </row>
    <row r="197" spans="2:6">
      <c r="B197"/>
      <c r="C197"/>
      <c r="D197"/>
      <c r="E197"/>
      <c r="F197"/>
    </row>
    <row r="198" spans="2:6">
      <c r="B198"/>
      <c r="C198"/>
      <c r="D198"/>
      <c r="E198"/>
      <c r="F198"/>
    </row>
    <row r="199" spans="2:6">
      <c r="B199"/>
      <c r="C199"/>
      <c r="D199"/>
      <c r="E199"/>
      <c r="F199"/>
    </row>
    <row r="200" spans="2:6">
      <c r="B200"/>
      <c r="C200"/>
      <c r="D200"/>
      <c r="E200"/>
      <c r="F200"/>
    </row>
    <row r="201" spans="2:6">
      <c r="B201"/>
      <c r="C201"/>
      <c r="D201"/>
      <c r="E201"/>
      <c r="F201"/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65551962029F48896EEDF27852CA85" ma:contentTypeVersion="18" ma:contentTypeDescription="Create a new document." ma:contentTypeScope="" ma:versionID="20fb57da2ccafd70f12fca7d65e6f804">
  <xsd:schema xmlns:xsd="http://www.w3.org/2001/XMLSchema" xmlns:xs="http://www.w3.org/2001/XMLSchema" xmlns:p="http://schemas.microsoft.com/office/2006/metadata/properties" xmlns:ns3="2271c3f0-2b14-4126-8b90-3256a1dc10c0" xmlns:ns4="6ea4289e-b242-47ad-afb7-279d07cb458e" targetNamespace="http://schemas.microsoft.com/office/2006/metadata/properties" ma:root="true" ma:fieldsID="2cd4fd20b4fcf6e18476a2ef92d715af" ns3:_="" ns4:_="">
    <xsd:import namespace="2271c3f0-2b14-4126-8b90-3256a1dc10c0"/>
    <xsd:import namespace="6ea4289e-b242-47ad-afb7-279d07cb458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71c3f0-2b14-4126-8b90-3256a1dc10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4289e-b242-47ad-afb7-279d07cb458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271c3f0-2b14-4126-8b90-3256a1dc10c0" xsi:nil="true"/>
  </documentManagement>
</p:properties>
</file>

<file path=customXml/itemProps1.xml><?xml version="1.0" encoding="utf-8"?>
<ds:datastoreItem xmlns:ds="http://schemas.openxmlformats.org/officeDocument/2006/customXml" ds:itemID="{F06314BD-98ED-4A4F-BC63-8EA00074FA8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71c3f0-2b14-4126-8b90-3256a1dc10c0"/>
    <ds:schemaRef ds:uri="6ea4289e-b242-47ad-afb7-279d07cb45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D1B7EF-E8FA-4395-9E8C-5C939DD6DF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925E1C-B688-47C3-BB2D-E6C8B2E540F8}">
  <ds:schemaRefs>
    <ds:schemaRef ds:uri="6ea4289e-b242-47ad-afb7-279d07cb458e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  <ds:schemaRef ds:uri="http://purl.org/dc/dcmitype/"/>
    <ds:schemaRef ds:uri="2271c3f0-2b14-4126-8b90-3256a1dc10c0"/>
    <ds:schemaRef ds:uri="http://schemas.microsoft.com/office/2006/metadata/properties"/>
    <ds:schemaRef ds:uri="http://www.w3.org/XML/1998/namespace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 me</vt:lpstr>
      <vt:lpstr>Search Strings</vt:lpstr>
      <vt:lpstr>Relevance Ratings</vt:lpstr>
      <vt:lpstr>References</vt:lpstr>
      <vt:lpstr>Res, Cap, Agg, Pro Costs</vt:lpstr>
      <vt:lpstr>Inflation</vt:lpstr>
      <vt:lpstr>Currency</vt:lpstr>
      <vt:lpstr>CPI USA</vt:lpstr>
      <vt:lpstr>OP RES COSTS</vt:lpstr>
      <vt:lpstr>Capacity Costs</vt:lpstr>
      <vt:lpstr>Agg Costs</vt:lpstr>
      <vt:lpstr>Profile Costs</vt:lpstr>
      <vt:lpstr>Agg Costs filtered</vt:lpstr>
      <vt:lpstr>Capacity Credit</vt:lpstr>
      <vt:lpstr>Curtailment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2020-08-05T18:17:24Z</dcterms:created>
  <dcterms:modified xsi:type="dcterms:W3CDTF">2024-09-17T18:54:48Z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0x010100FE65551962029F48896EEDF27852CA85</vt:lpwstr>
  </property>
</Properties>
</file>